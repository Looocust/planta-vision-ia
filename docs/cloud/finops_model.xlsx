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uestos" sheetId="1" state="visible" r:id="rId1"/>
    <sheet name="Operación actual" sheetId="2" state="visible" r:id="rId2"/>
    <sheet name="Azure" sheetId="3" state="visible" r:id="rId3"/>
    <sheet name="AWS" sheetId="4" state="visible" r:id="rId4"/>
    <sheet name="Comparativo" sheetId="5" state="visible" r:id="rId5"/>
    <sheet name="Sensibilidad" sheetId="6" state="visible" r:id="rId6"/>
    <sheet name="Fuentes" sheetId="7" state="visible" r:id="rId7"/>
  </sheets>
  <definedNames>
    <definedName name="plantas">'Supuestos'!$C$6</definedName>
    <definedName name="estaciones">'Supuestos'!$C$7</definedName>
    <definedName name="horas_semana">'Supuestos'!$C$8</definedName>
    <definedName name="semanas_mes">'Supuestos'!$C$9</definedName>
    <definedName name="horas_mes">'Supuestos'!$C$10</definedName>
    <definedName name="dias_mes">'Supuestos'!$C$11</definedName>
    <definedName name="operadores_turno">'Supuestos'!$C$12</definedName>
    <definedName name="factor_cobertura">'Supuestos'!$C$13</definedName>
    <definedName name="throughput_obj_h">'Supuestos'!$C$14</definedName>
    <definedName name="pct_automatizado">'Supuestos'!$C$16</definedName>
    <definedName name="min_caso_revision">'Supuestos'!$C$17</definedName>
    <definedName name="fraccion_atencion">'Supuestos'!$C$18</definedName>
    <definedName name="salario_co_cop">'Supuestos'!$C$20</definedName>
    <definedName name="factor_prest_co">'Supuestos'!$C$21</definedName>
    <definedName name="jornada_semanal_co">'Supuestos'!$C$22</definedName>
    <definedName name="horas_lab_mes_co">'Supuestos'!$C$23</definedName>
    <definedName name="pct_nocturno">'Supuestos'!$C$24</definedName>
    <definedName name="recargo_noct_co">'Supuestos'!$C$25</definedName>
    <definedName name="trm_cop_usd">'Supuestos'!$C$26</definedName>
    <definedName name="costo_hora_co">'Supuestos'!$C$27</definedName>
    <definedName name="salario_es_eur">'Supuestos'!$C$29</definedName>
    <definedName name="ss_empresa_es">'Supuestos'!$C$30</definedName>
    <definedName name="horas_anuales_es">'Supuestos'!$C$31</definedName>
    <definedName name="plus_noct_es">'Supuestos'!$C$32</definedName>
    <definedName name="usd_por_eur">'Supuestos'!$C$33</definedName>
    <definedName name="costo_hora_es">'Supuestos'!$C$34</definedName>
    <definedName name="muestreo_act">'Supuestos'!$C$36</definedName>
    <definedName name="pct_subidas">'Supuestos'!$C$37</definedName>
    <definedName name="kb_imagen">'Supuestos'!$C$38</definedName>
    <definedName name="img_dia_estacion">'Supuestos'!$C$39</definedName>
    <definedName name="gb_imagenes_mes_est">'Supuestos'!$C$40</definedName>
    <definedName name="dias_hot">'Supuestos'!$C$41</definedName>
    <definedName name="dias_cool">'Supuestos'!$C$42</definedName>
    <definedName name="dias_archivo">'Supuestos'!$C$43</definedName>
    <definedName name="gb_auditoria">'Supuestos'!$C$44</definedName>
    <definedName name="msgs_telemetria_dia">'Supuestos'!$C$45</definedName>
    <definedName name="msgs_dia_estacion">'Supuestos'!$C$46</definedName>
    <definedName name="gb_logs_mes">'Supuestos'!$C$47</definedName>
    <definedName name="conv_dia_base">'Supuestos'!$C$49</definedName>
    <definedName name="conv_dia_estacion">'Supuestos'!$C$50</definedName>
    <definedName name="conv_mes">'Supuestos'!$C$51</definedName>
    <definedName name="tok_in_conv">'Supuestos'!$C$52</definedName>
    <definedName name="tok_out_conv">'Supuestos'!$C$53</definedName>
    <definedName name="pct_cache">'Supuestos'!$C$54</definedName>
    <definedName name="pct_modelo_grande">'Supuestos'!$C$55</definedName>
    <definedName name="tok_embed_mes">'Supuestos'!$C$56</definedName>
    <definedName name="capex_pc">'Supuestos'!$C$58</definedName>
    <definedName name="capex_camara">'Supuestos'!$C$59</definedName>
    <definedName name="capex_integracion">'Supuestos'!$C$60</definedName>
    <definedName name="capex_planta">'Supuestos'!$C$61</definedName>
    <definedName name="pct_mant_hw">'Supuestos'!$C$62</definedName>
    <definedName name="replicas_agente">'Supuestos'!$C$64</definedName>
    <definedName name="replicas_bd">'Supuestos'!$C$65</definedName>
    <definedName name="horas_activas_vision_cloud">'Supuestos'!$C$66</definedName>
    <definedName name="horas_entrenamiento">'Supuestos'!$C$67</definedName>
    <definedName name="uplift_ue">'Supuestos'!$C$68</definedName>
    <definedName name="actual_mes_co">'Operación actual'!$B$10</definedName>
    <definedName name="actual_mes_es">'Operación actual'!$C$10</definedName>
    <definedName name="actual_estacion_co">'Operación actual'!$B$8</definedName>
    <definedName name="actual_estacion_es">'Operación actual'!$C$8</definedName>
    <definedName name="azure_big_in">'Azure'!$C$39</definedName>
    <definedName name="azure_big_cache">'Azure'!$C$40</definedName>
    <definedName name="azure_big_out">'Azure'!$C$41</definedName>
    <definedName name="azure_fijo_mes">'Azure'!$H$44</definedName>
    <definedName name="azure_fijo_mes_ue">'Azure'!$I$44</definedName>
    <definedName name="azure_estacion_total_mes">'Azure'!$H$45</definedName>
    <definedName name="azure_estacion_total_mes_ue">'Azure'!$I$45</definedName>
    <definedName name="azure_llm_mes">'Azure'!$H$46</definedName>
    <definedName name="azure_llm_mes_ue">'Azure'!$I$46</definedName>
    <definedName name="azure_total_mes">'Azure'!$H$47</definedName>
    <definedName name="azure_total_mes_ue">'Azure'!$I$47</definedName>
    <definedName name="azure_img_mes">'Azure'!$H$49</definedName>
    <definedName name="azure_img_mes_ue">'Azure'!$I$49</definedName>
    <definedName name="azure_por_estacion_mes">'Azure'!$H$50</definedName>
    <definedName name="azure_por_estacion_mes_ue">'Azure'!$I$50</definedName>
    <definedName name="azure_llm_por_conv">'Azure'!$H$51</definedName>
    <definedName name="azure_llm_por_conv_ue">'Azure'!$I$51</definedName>
    <definedName name="azure_por_objeto">'Azure'!$H$52</definedName>
    <definedName name="azure_por_objeto_ue">'Azure'!$I$52</definedName>
    <definedName name="aws_fijo_mes">'AWS'!$H$45</definedName>
    <definedName name="aws_fijo_mes_ue">'AWS'!$I$45</definedName>
    <definedName name="aws_estacion_total_mes">'AWS'!$H$46</definedName>
    <definedName name="aws_estacion_total_mes_ue">'AWS'!$I$46</definedName>
    <definedName name="aws_llm_mes">'AWS'!$H$47</definedName>
    <definedName name="aws_llm_mes_ue">'AWS'!$I$47</definedName>
    <definedName name="aws_total_mes">'AWS'!$H$48</definedName>
    <definedName name="aws_total_mes_ue">'AWS'!$I$48</definedName>
    <definedName name="aws_img_mes">'AWS'!$H$50</definedName>
    <definedName name="aws_img_mes_ue">'AWS'!$I$50</definedName>
    <definedName name="aws_por_estacion_mes">'AWS'!$H$51</definedName>
    <definedName name="aws_por_estacion_mes_ue">'AWS'!$I$51</definedName>
    <definedName name="aws_llm_por_conv">'AWS'!$H$52</definedName>
    <definedName name="aws_llm_por_conv_ue">'AWS'!$I$52</definedName>
    <definedName name="aws_por_objeto">'AWS'!$H$53</definedName>
    <definedName name="aws_por_objeto_ue">'AWS'!$I$53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&quot;$&quot;#,##0.00"/>
    <numFmt numFmtId="166" formatCode="&quot;$&quot;#,##0"/>
    <numFmt numFmtId="167" formatCode="0.0000000"/>
    <numFmt numFmtId="168" formatCode="0.0000"/>
    <numFmt numFmtId="169" formatCode="0.000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color rgb="001F4E9E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3" fillId="4" borderId="0" pivotButton="0" quotePrefix="0" xfId="0"/>
    <xf numFmtId="0" fontId="0" fillId="4" borderId="0" pivotButton="0" quotePrefix="0" xfId="0"/>
    <xf numFmtId="3" fontId="4" fillId="5" borderId="1" pivotButton="0" quotePrefix="0" xfId="0"/>
    <xf numFmtId="4" fontId="0" fillId="0" borderId="1" pivotButton="0" quotePrefix="0" xfId="0"/>
    <xf numFmtId="4" fontId="4" fillId="5" borderId="1" pivotButton="0" quotePrefix="0" xfId="0"/>
    <xf numFmtId="164" fontId="4" fillId="5" borderId="1" pivotButton="0" quotePrefix="0" xfId="0"/>
    <xf numFmtId="165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6" fontId="4" fillId="5" borderId="1" pivotButton="0" quotePrefix="0" xfId="0"/>
    <xf numFmtId="166" fontId="0" fillId="0" borderId="1" pivotButton="0" quotePrefix="0" xfId="0"/>
    <xf numFmtId="0" fontId="3" fillId="6" borderId="0" pivotButton="0" quotePrefix="0" xfId="0"/>
    <xf numFmtId="166" fontId="3" fillId="6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7" fontId="4" fillId="5" borderId="1" pivotButton="0" quotePrefix="0" xfId="0"/>
    <xf numFmtId="0" fontId="4" fillId="5" borderId="1" pivotButton="0" quotePrefix="0" xfId="0"/>
    <xf numFmtId="0" fontId="3" fillId="0" borderId="0" pivotButton="0" quotePrefix="0" xfId="0"/>
    <xf numFmtId="165" fontId="3" fillId="0" borderId="0" pivotButton="0" quotePrefix="0" xfId="0"/>
    <xf numFmtId="165" fontId="3" fillId="6" borderId="0" pivotButton="0" quotePrefix="0" xfId="0"/>
    <xf numFmtId="165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9" fontId="0" fillId="0" borderId="1" pivotButton="0" quotePrefix="0" xfId="0"/>
    <xf numFmtId="164" fontId="0" fillId="0" borderId="0" pivotButton="0" quotePrefix="0" xfId="0"/>
    <xf numFmtId="164" fontId="4" fillId="5" borderId="0" pivotButton="0" quotePrefix="0" xfId="0"/>
    <xf numFmtId="166" fontId="0" fillId="0" borderId="0" pivotButton="0" quotePrefix="0" xfId="0"/>
    <xf numFmtId="4" fontId="0" fillId="0" borderId="0" pivotButton="0" quotePrefix="0" xfId="0"/>
    <xf numFmtId="0" fontId="4" fillId="5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FinOps</author>
  </authors>
  <commentList>
    <comment ref="C16" authorId="0" shapeId="0">
      <text>
        <t>Coordinador: reemplazar por la cobertura ACT medida en test (reporte del modelo).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16" customWidth="1" min="3" max="3"/>
    <col width="13" customWidth="1" min="4" max="4"/>
    <col width="12" customWidth="1" min="5" max="5"/>
    <col width="70" customWidth="1" min="6" max="6"/>
    <col width="12" customWidth="1" min="7" max="7"/>
  </cols>
  <sheetData>
    <row r="1">
      <c r="A1" s="1" t="inlineStr">
        <is>
          <t>Supuestos del modelo FinOps (todo lo editable está aquí)</t>
        </is>
      </c>
      <c r="B1" s="2" t="n"/>
      <c r="C1" s="2" t="n"/>
      <c r="D1" s="2" t="n"/>
      <c r="E1" s="2" t="n"/>
      <c r="F1" s="2" t="n"/>
      <c r="G1" s="2" t="n"/>
    </row>
    <row r="2" ht="60" customHeight="1">
      <c r="A2" s="3" t="inlineStr">
        <is>
          <t>Celdas amarillas con texto azul = entradas editables. Las demás hojas solo tienen fórmulas. Tipo: 'Supuesto' = valor elegido por el candidato, defendible pero no verificado; 'Placeholder' = debe reemplazarse por un resultado medido; 'Referencia' = dato público con fuente; 'Calculado' = fórmula. Moneda: USD. Región de precios: Colombia → EE. UU. (East US 2 / us-east-1); España → UE (Spain Central / eu-south-2).</t>
        </is>
      </c>
    </row>
    <row r="4">
      <c r="A4" s="4" t="inlineStr">
        <is>
          <t>Nombre (rango)</t>
        </is>
      </c>
      <c r="B4" s="4" t="inlineStr">
        <is>
          <t>Descripción</t>
        </is>
      </c>
      <c r="C4" s="4" t="inlineStr">
        <is>
          <t>Valor</t>
        </is>
      </c>
      <c r="D4" s="4" t="inlineStr">
        <is>
          <t>Unidad</t>
        </is>
      </c>
      <c r="E4" s="4" t="inlineStr">
        <is>
          <t>Tipo</t>
        </is>
      </c>
      <c r="F4" s="4" t="inlineStr">
        <is>
          <t>Fuente / justificación</t>
        </is>
      </c>
      <c r="G4" s="4" t="inlineStr">
        <is>
          <t>Fecha</t>
        </is>
      </c>
    </row>
    <row r="5">
      <c r="A5" s="5" t="inlineStr">
        <is>
          <t>Operación de la planta</t>
        </is>
      </c>
      <c r="B5" s="6" t="n"/>
      <c r="C5" s="6" t="n"/>
      <c r="D5" s="6" t="n"/>
      <c r="E5" s="6" t="n"/>
      <c r="F5" s="6" t="n"/>
      <c r="G5" s="6" t="n"/>
    </row>
    <row r="6">
      <c r="A6" t="inlineStr">
        <is>
          <t>plantas</t>
        </is>
      </c>
      <c r="B6" s="3" t="inlineStr">
        <is>
          <t>Plantas en el alcance</t>
        </is>
      </c>
      <c r="C6" s="7" t="n">
        <v>1</v>
      </c>
      <c r="D6" t="inlineStr">
        <is>
          <t>plantas</t>
        </is>
      </c>
      <c r="E6" t="inlineStr">
        <is>
          <t>Supuesto</t>
        </is>
      </c>
      <c r="F6" s="3" t="inlineStr">
        <is>
          <t>Piloto en una planta</t>
        </is>
      </c>
      <c r="G6" t="inlineStr">
        <is>
          <t>2026-10-24</t>
        </is>
      </c>
    </row>
    <row r="7">
      <c r="A7" t="inlineStr">
        <is>
          <t>estaciones</t>
        </is>
      </c>
      <c r="B7" s="3" t="inlineStr">
        <is>
          <t>Estaciones (líneas de empaque) por planta</t>
        </is>
      </c>
      <c r="C7" s="7" t="n">
        <v>1</v>
      </c>
      <c r="D7" t="inlineStr">
        <is>
          <t>estaciones</t>
        </is>
      </c>
      <c r="E7" t="inlineStr">
        <is>
          <t>Supuesto</t>
        </is>
      </c>
      <c r="F7" s="3" t="inlineStr">
        <is>
          <t>Caso base del enunciado. Ver Sensibilidad para 5 y 20</t>
        </is>
      </c>
      <c r="G7" t="inlineStr">
        <is>
          <t>2026-10-24</t>
        </is>
      </c>
    </row>
    <row r="8">
      <c r="A8" t="inlineStr">
        <is>
          <t>horas_semana</t>
        </is>
      </c>
      <c r="B8" s="3" t="inlineStr">
        <is>
          <t>Horas de operación por semana</t>
        </is>
      </c>
      <c r="C8" s="7" t="n">
        <v>120</v>
      </c>
      <c r="D8" t="inlineStr">
        <is>
          <t>h/semana</t>
        </is>
      </c>
      <c r="E8" t="inlineStr">
        <is>
          <t>Referencia</t>
        </is>
      </c>
      <c r="F8" s="3" t="inlineStr">
        <is>
          <t>Enunciado: 24 h/día × 5 días/semana (3 turnos de 8 h)</t>
        </is>
      </c>
      <c r="G8" t="inlineStr">
        <is>
          <t>2026-10-24</t>
        </is>
      </c>
    </row>
    <row r="9">
      <c r="A9" t="inlineStr">
        <is>
          <t>semanas_mes</t>
        </is>
      </c>
      <c r="B9" s="3" t="inlineStr">
        <is>
          <t>Semanas promedio por mes</t>
        </is>
      </c>
      <c r="C9" s="8">
        <f>52/12</f>
        <v/>
      </c>
      <c r="D9" t="inlineStr">
        <is>
          <t>semanas</t>
        </is>
      </c>
      <c r="E9" t="inlineStr">
        <is>
          <t>Calculado</t>
        </is>
      </c>
      <c r="F9" s="3" t="inlineStr">
        <is>
          <t>52 / 12</t>
        </is>
      </c>
      <c r="G9" t="inlineStr">
        <is>
          <t>2026-10-24</t>
        </is>
      </c>
    </row>
    <row r="10">
      <c r="A10" t="inlineStr">
        <is>
          <t>horas_mes</t>
        </is>
      </c>
      <c r="B10" s="3" t="inlineStr">
        <is>
          <t>Horas de operación por mes</t>
        </is>
      </c>
      <c r="C10" s="8">
        <f>horas_semana*semanas_mes</f>
        <v/>
      </c>
      <c r="D10" t="inlineStr">
        <is>
          <t>h/mes</t>
        </is>
      </c>
      <c r="E10" t="inlineStr">
        <is>
          <t>Calculado</t>
        </is>
      </c>
      <c r="F10" s="3" t="inlineStr">
        <is>
          <t>≈ 520 h</t>
        </is>
      </c>
      <c r="G10" t="inlineStr">
        <is>
          <t>2026-10-24</t>
        </is>
      </c>
    </row>
    <row r="11">
      <c r="A11" t="inlineStr">
        <is>
          <t>dias_mes</t>
        </is>
      </c>
      <c r="B11" s="3" t="inlineStr">
        <is>
          <t>Días de operación por mes</t>
        </is>
      </c>
      <c r="C11" s="8">
        <f>5*semanas_mes</f>
        <v/>
      </c>
      <c r="D11" t="inlineStr">
        <is>
          <t>días/mes</t>
        </is>
      </c>
      <c r="E11" t="inlineStr">
        <is>
          <t>Calculado</t>
        </is>
      </c>
      <c r="F11" s="3" t="inlineStr">
        <is>
          <t>5 días × 4,33</t>
        </is>
      </c>
      <c r="G11" t="inlineStr">
        <is>
          <t>2026-10-24</t>
        </is>
      </c>
    </row>
    <row r="12">
      <c r="A12" t="inlineStr">
        <is>
          <t>operadores_turno</t>
        </is>
      </c>
      <c r="B12" s="3" t="inlineStr">
        <is>
          <t>Operadores por turno por estación</t>
        </is>
      </c>
      <c r="C12" s="7" t="n">
        <v>1</v>
      </c>
      <c r="D12" t="inlineStr">
        <is>
          <t>personas</t>
        </is>
      </c>
      <c r="E12" t="inlineStr">
        <is>
          <t>Referencia</t>
        </is>
      </c>
      <c r="F12" s="3" t="inlineStr">
        <is>
          <t>Enunciado</t>
        </is>
      </c>
      <c r="G12" t="inlineStr">
        <is>
          <t>2026-10-24</t>
        </is>
      </c>
    </row>
    <row r="13">
      <c r="A13" t="inlineStr">
        <is>
          <t>factor_cobertura</t>
        </is>
      </c>
      <c r="B13" s="3" t="inlineStr">
        <is>
          <t>Factor de cobertura (vacaciones, ausentismo, relevos)</t>
        </is>
      </c>
      <c r="C13" s="9" t="n">
        <v>1.15</v>
      </c>
      <c r="D13" t="inlineStr">
        <is>
          <t>×</t>
        </is>
      </c>
      <c r="E13" t="inlineStr">
        <is>
          <t>Supuesto</t>
        </is>
      </c>
      <c r="F13" s="3" t="inlineStr">
        <is>
          <t>Cubrir 1 puesto requiere ~15% más horas pagadas que horas de puesto</t>
        </is>
      </c>
      <c r="G13" t="inlineStr">
        <is>
          <t>2026-10-24</t>
        </is>
      </c>
    </row>
    <row r="14">
      <c r="A14" t="inlineStr">
        <is>
          <t>throughput_obj_h</t>
        </is>
      </c>
      <c r="B14" s="3" t="inlineStr">
        <is>
          <t>Objetos procesados por hora por estación</t>
        </is>
      </c>
      <c r="C14" s="7" t="n">
        <v>600</v>
      </c>
      <c r="D14" t="inlineStr">
        <is>
          <t>obj/h</t>
        </is>
      </c>
      <c r="E14" t="inlineStr">
        <is>
          <t>Supuesto</t>
        </is>
      </c>
      <c r="F14" s="3" t="inlineStr">
        <is>
          <t>1 objeto cada 6 s. Ajustar con el dato real de la línea</t>
        </is>
      </c>
      <c r="G14" t="inlineStr">
        <is>
          <t>2026-10-24</t>
        </is>
      </c>
    </row>
    <row r="15">
      <c r="A15" s="5" t="inlineStr">
        <is>
          <t>Desempeño del sistema automático</t>
        </is>
      </c>
      <c r="B15" s="6" t="n"/>
      <c r="C15" s="6" t="n"/>
      <c r="D15" s="6" t="n"/>
      <c r="E15" s="6" t="n"/>
      <c r="F15" s="6" t="n"/>
      <c r="G15" s="6" t="n"/>
    </row>
    <row r="16">
      <c r="A16" t="inlineStr">
        <is>
          <t>pct_automatizado</t>
        </is>
      </c>
      <c r="B16" s="3" t="inlineStr">
        <is>
          <t>% de objetos resueltos sin humano (decisión ACT correcta)</t>
        </is>
      </c>
      <c r="C16" s="10" t="n">
        <v>0.95</v>
      </c>
      <c r="D16" t="inlineStr">
        <is>
          <t>%</t>
        </is>
      </c>
      <c r="E16" t="inlineStr">
        <is>
          <t>Placeholder</t>
        </is>
      </c>
      <c r="F16" s="3" t="inlineStr">
        <is>
          <t>PLACEHOLDER sin evidencia: reemplazar por la cobertura ACT medida en test (docs/report). Ver Sensibilidad 80-99%</t>
        </is>
      </c>
      <c r="G16" t="inlineStr">
        <is>
          <t>2026-10-24</t>
        </is>
      </c>
    </row>
    <row r="17">
      <c r="A17" t="inlineStr">
        <is>
          <t>min_caso_revision</t>
        </is>
      </c>
      <c r="B17" s="3" t="inlineStr">
        <is>
          <t>Minutos humanos por caso en cola (REVIEW/REJECT)</t>
        </is>
      </c>
      <c r="C17" s="9" t="n">
        <v>0.5</v>
      </c>
      <c r="D17" t="inlineStr">
        <is>
          <t>min/caso</t>
        </is>
      </c>
      <c r="E17" t="inlineStr">
        <is>
          <t>Supuesto</t>
        </is>
      </c>
      <c r="F17" s="3" t="inlineStr">
        <is>
          <t>Mirar evidencia + reubicar el objeto desviado (~30 s)</t>
        </is>
      </c>
      <c r="G17" t="inlineStr">
        <is>
          <t>2026-10-24</t>
        </is>
      </c>
    </row>
    <row r="18">
      <c r="A18" t="inlineStr">
        <is>
          <t>fraccion_atencion</t>
        </is>
      </c>
      <c r="B18" s="3" t="inlineStr">
        <is>
          <t>Fracción de las horas de operación de la estación que requiere una persona (supervisión itinerante, atascos, reabastecer)</t>
        </is>
      </c>
      <c r="C18" s="10" t="n">
        <v>0.1</v>
      </c>
      <c r="D18" t="inlineStr">
        <is>
          <t>% horas puesto</t>
        </is>
      </c>
      <c r="E18" t="inlineStr">
        <is>
          <t>Supuesto</t>
        </is>
      </c>
      <c r="F18" s="3" t="inlineStr">
        <is>
          <t>Horas residuales = fracción × horas_mes × factor_cobertura (≈ 60 h pagadas/mes). NO es FTE</t>
        </is>
      </c>
      <c r="G18" t="inlineStr">
        <is>
          <t>2026-10-24</t>
        </is>
      </c>
    </row>
    <row r="19">
      <c r="A19" s="5" t="inlineStr">
        <is>
          <t>Costo laboral — escenario Colombia</t>
        </is>
      </c>
      <c r="B19" s="6" t="n"/>
      <c r="C19" s="6" t="n"/>
      <c r="D19" s="6" t="n"/>
      <c r="E19" s="6" t="n"/>
      <c r="F19" s="6" t="n"/>
      <c r="G19" s="6" t="n"/>
    </row>
    <row r="20">
      <c r="A20" t="inlineStr">
        <is>
          <t>salario_co_cop</t>
        </is>
      </c>
      <c r="B20" s="3" t="inlineStr">
        <is>
          <t>Salario base mensual operador</t>
        </is>
      </c>
      <c r="C20" s="7" t="n">
        <v>1750000</v>
      </c>
      <c r="D20" t="inlineStr">
        <is>
          <t>COP/mes</t>
        </is>
      </c>
      <c r="E20" t="inlineStr">
        <is>
          <t>Supuesto</t>
        </is>
      </c>
      <c r="F20" s="3" t="inlineStr">
        <is>
          <t>≈1,2 SMMLV 2025 (1.423.500 COP, Decreto 1572/2024). Actualizar con SMMLV 2026</t>
        </is>
      </c>
      <c r="G20" t="inlineStr">
        <is>
          <t>2026-10-24</t>
        </is>
      </c>
    </row>
    <row r="21">
      <c r="A21" t="inlineStr">
        <is>
          <t>factor_prest_co</t>
        </is>
      </c>
      <c r="B21" s="3" t="inlineStr">
        <is>
          <t>Factor prestacional (prestaciones, seguridad social, parafiscales, aux. transporte)</t>
        </is>
      </c>
      <c r="C21" s="9" t="n">
        <v>1.55</v>
      </c>
      <c r="D21" t="inlineStr">
        <is>
          <t>×</t>
        </is>
      </c>
      <c r="E21" t="inlineStr">
        <is>
          <t>Supuesto</t>
        </is>
      </c>
      <c r="F21" s="3" t="inlineStr">
        <is>
          <t>Rango típico 1,50-1,60</t>
        </is>
      </c>
      <c r="G21" t="inlineStr">
        <is>
          <t>2026-10-24</t>
        </is>
      </c>
    </row>
    <row r="22">
      <c r="A22" t="inlineStr">
        <is>
          <t>jornada_semanal_co</t>
        </is>
      </c>
      <c r="B22" s="3" t="inlineStr">
        <is>
          <t>Jornada máxima semanal</t>
        </is>
      </c>
      <c r="C22" s="7" t="n">
        <v>42</v>
      </c>
      <c r="D22" t="inlineStr">
        <is>
          <t>h/semana</t>
        </is>
      </c>
      <c r="E22" t="inlineStr">
        <is>
          <t>Referencia</t>
        </is>
      </c>
      <c r="F22" s="3" t="inlineStr">
        <is>
          <t>Ley 2101 de 2021: 42 h/semana desde el 15-jul-2026 (Circular MinTrabajo 0101 de 2025)</t>
        </is>
      </c>
      <c r="G22" t="inlineStr">
        <is>
          <t>2026-10-24</t>
        </is>
      </c>
    </row>
    <row r="23">
      <c r="A23" t="inlineStr">
        <is>
          <t>horas_lab_mes_co</t>
        </is>
      </c>
      <c r="B23" s="3" t="inlineStr">
        <is>
          <t>Horas laborales contratadas por mes</t>
        </is>
      </c>
      <c r="C23" s="8">
        <f>jornada_semanal_co*semanas_mes</f>
        <v/>
      </c>
      <c r="D23" t="inlineStr">
        <is>
          <t>h/mes</t>
        </is>
      </c>
      <c r="E23" t="inlineStr">
        <is>
          <t>Calculado</t>
        </is>
      </c>
      <c r="F23" s="3" t="inlineStr">
        <is>
          <t>42 × 4,33 ≈ 182 h</t>
        </is>
      </c>
      <c r="G23" t="inlineStr">
        <is>
          <t>2026-10-24</t>
        </is>
      </c>
    </row>
    <row r="24">
      <c r="A24" t="inlineStr">
        <is>
          <t>pct_nocturno</t>
        </is>
      </c>
      <c r="B24" s="3" t="inlineStr">
        <is>
          <t>% de horas en franja nocturna</t>
        </is>
      </c>
      <c r="C24" s="10" t="n">
        <v>0.33</v>
      </c>
      <c r="D24" t="inlineStr">
        <is>
          <t>%</t>
        </is>
      </c>
      <c r="E24" t="inlineStr">
        <is>
          <t>Supuesto</t>
        </is>
      </c>
      <c r="F24" s="3" t="inlineStr">
        <is>
          <t>1 de 3 turnos nocturno</t>
        </is>
      </c>
      <c r="G24" t="inlineStr">
        <is>
          <t>2026-10-24</t>
        </is>
      </c>
    </row>
    <row r="25">
      <c r="A25" t="inlineStr">
        <is>
          <t>recargo_noct_co</t>
        </is>
      </c>
      <c r="B25" s="3" t="inlineStr">
        <is>
          <t>Recargo nocturno</t>
        </is>
      </c>
      <c r="C25" s="10" t="n">
        <v>0.35</v>
      </c>
      <c r="D25" t="inlineStr">
        <is>
          <t>%</t>
        </is>
      </c>
      <c r="E25" t="inlineStr">
        <is>
          <t>Referencia</t>
        </is>
      </c>
      <c r="F25" s="3" t="inlineStr">
        <is>
          <t>Código Sustantivo del Trabajo art. 168</t>
        </is>
      </c>
      <c r="G25" t="inlineStr">
        <is>
          <t>2026-10-24</t>
        </is>
      </c>
    </row>
    <row r="26">
      <c r="A26" t="inlineStr">
        <is>
          <t>trm_cop_usd</t>
        </is>
      </c>
      <c r="B26" s="3" t="inlineStr">
        <is>
          <t>Tasa de cambio COP por USD</t>
        </is>
      </c>
      <c r="C26" s="7" t="n">
        <v>4000</v>
      </c>
      <c r="D26" t="inlineStr">
        <is>
          <t>COP/USD</t>
        </is>
      </c>
      <c r="E26" t="inlineStr">
        <is>
          <t>Supuesto</t>
        </is>
      </c>
      <c r="F26" s="3" t="inlineStr">
        <is>
          <t>Verificar TRM del día (banrep.gov.co)</t>
        </is>
      </c>
      <c r="G26" t="inlineStr">
        <is>
          <t>2026-10-24</t>
        </is>
      </c>
    </row>
    <row r="27">
      <c r="A27" t="inlineStr">
        <is>
          <t>costo_hora_co</t>
        </is>
      </c>
      <c r="B27" s="3" t="inlineStr">
        <is>
          <t>Costo cargado por hora-persona (Colombia)</t>
        </is>
      </c>
      <c r="C27" s="11">
        <f>salario_co_cop*factor_prest_co/horas_lab_mes_co/trm_cop_usd*(1+recargo_noct_co*pct_nocturno)</f>
        <v/>
      </c>
      <c r="D27" t="inlineStr">
        <is>
          <t>USD/h</t>
        </is>
      </c>
      <c r="E27" t="inlineStr">
        <is>
          <t>Calculado</t>
        </is>
      </c>
      <c r="F27" s="3" t="inlineStr"/>
      <c r="G27" t="inlineStr">
        <is>
          <t>2026-10-24</t>
        </is>
      </c>
    </row>
    <row r="28">
      <c r="A28" s="5" t="inlineStr">
        <is>
          <t>Costo laboral — escenario España</t>
        </is>
      </c>
      <c r="B28" s="6" t="n"/>
      <c r="C28" s="6" t="n"/>
      <c r="D28" s="6" t="n"/>
      <c r="E28" s="6" t="n"/>
      <c r="F28" s="6" t="n"/>
      <c r="G28" s="6" t="n"/>
    </row>
    <row r="29">
      <c r="A29" t="inlineStr">
        <is>
          <t>salario_es_eur</t>
        </is>
      </c>
      <c r="B29" s="3" t="inlineStr">
        <is>
          <t>Salario bruto anual operador</t>
        </is>
      </c>
      <c r="C29" s="7" t="n">
        <v>22000</v>
      </c>
      <c r="D29" t="inlineStr">
        <is>
          <t>EUR/año</t>
        </is>
      </c>
      <c r="E29" t="inlineStr">
        <is>
          <t>Supuesto</t>
        </is>
      </c>
      <c r="F29" s="3" t="inlineStr">
        <is>
          <t>Rango de convenios de industria/logística</t>
        </is>
      </c>
      <c r="G29" t="inlineStr">
        <is>
          <t>2026-10-24</t>
        </is>
      </c>
    </row>
    <row r="30">
      <c r="A30" t="inlineStr">
        <is>
          <t>ss_empresa_es</t>
        </is>
      </c>
      <c r="B30" s="3" t="inlineStr">
        <is>
          <t>Seguridad Social a cargo de la empresa</t>
        </is>
      </c>
      <c r="C30" s="10" t="n">
        <v>0.32</v>
      </c>
      <c r="D30" t="inlineStr">
        <is>
          <t>%</t>
        </is>
      </c>
      <c r="E30" t="inlineStr">
        <is>
          <t>Supuesto</t>
        </is>
      </c>
      <c r="F30" s="3" t="inlineStr">
        <is>
          <t>≈31-33%</t>
        </is>
      </c>
      <c r="G30" t="inlineStr">
        <is>
          <t>2026-10-24</t>
        </is>
      </c>
    </row>
    <row r="31">
      <c r="A31" t="inlineStr">
        <is>
          <t>horas_anuales_es</t>
        </is>
      </c>
      <c r="B31" s="3" t="inlineStr">
        <is>
          <t>Horas efectivas anuales por convenio</t>
        </is>
      </c>
      <c r="C31" s="7" t="n">
        <v>1760</v>
      </c>
      <c r="D31" t="inlineStr">
        <is>
          <t>h/año</t>
        </is>
      </c>
      <c r="E31" t="inlineStr">
        <is>
          <t>Supuesto</t>
        </is>
      </c>
      <c r="F31" s="3" t="inlineStr">
        <is>
          <t>Rango 1.750-1.800 h</t>
        </is>
      </c>
      <c r="G31" t="inlineStr">
        <is>
          <t>2026-10-24</t>
        </is>
      </c>
    </row>
    <row r="32">
      <c r="A32" t="inlineStr">
        <is>
          <t>plus_noct_es</t>
        </is>
      </c>
      <c r="B32" s="3" t="inlineStr">
        <is>
          <t>Plus de nocturnidad</t>
        </is>
      </c>
      <c r="C32" s="10" t="n">
        <v>0.25</v>
      </c>
      <c r="D32" t="inlineStr">
        <is>
          <t>%</t>
        </is>
      </c>
      <c r="E32" t="inlineStr">
        <is>
          <t>Supuesto</t>
        </is>
      </c>
      <c r="F32" s="3" t="inlineStr">
        <is>
          <t>ET art. 36 remite a convenio; 25% habitual</t>
        </is>
      </c>
      <c r="G32" t="inlineStr">
        <is>
          <t>2026-10-24</t>
        </is>
      </c>
    </row>
    <row r="33">
      <c r="A33" t="inlineStr">
        <is>
          <t>usd_por_eur</t>
        </is>
      </c>
      <c r="B33" s="3" t="inlineStr">
        <is>
          <t>USD por EUR</t>
        </is>
      </c>
      <c r="C33" s="9" t="n">
        <v>1.15</v>
      </c>
      <c r="D33" t="inlineStr">
        <is>
          <t>USD/EUR</t>
        </is>
      </c>
      <c r="E33" t="inlineStr">
        <is>
          <t>Supuesto</t>
        </is>
      </c>
      <c r="F33" s="3" t="inlineStr">
        <is>
          <t>Verificar tipo de cambio del día (BCE)</t>
        </is>
      </c>
      <c r="G33" t="inlineStr">
        <is>
          <t>2026-10-24</t>
        </is>
      </c>
    </row>
    <row r="34">
      <c r="A34" t="inlineStr">
        <is>
          <t>costo_hora_es</t>
        </is>
      </c>
      <c r="B34" s="3" t="inlineStr">
        <is>
          <t>Costo cargado por hora-persona (España)</t>
        </is>
      </c>
      <c r="C34" s="11">
        <f>salario_es_eur*(1+ss_empresa_es)/horas_anuales_es*usd_por_eur*(1+plus_noct_es*pct_nocturno)</f>
        <v/>
      </c>
      <c r="D34" t="inlineStr">
        <is>
          <t>USD/h</t>
        </is>
      </c>
      <c r="E34" t="inlineStr">
        <is>
          <t>Calculado</t>
        </is>
      </c>
      <c r="F34" s="3" t="inlineStr"/>
      <c r="G34" t="inlineStr">
        <is>
          <t>2026-10-24</t>
        </is>
      </c>
    </row>
    <row r="35">
      <c r="A35" s="5" t="inlineStr">
        <is>
          <t>Imágenes y telemetría</t>
        </is>
      </c>
      <c r="B35" s="6" t="n"/>
      <c r="C35" s="6" t="n"/>
      <c r="D35" s="6" t="n"/>
      <c r="E35" s="6" t="n"/>
      <c r="F35" s="6" t="n"/>
      <c r="G35" s="6" t="n"/>
    </row>
    <row r="36">
      <c r="A36" t="inlineStr">
        <is>
          <t>muestreo_act</t>
        </is>
      </c>
      <c r="B36" s="3" t="inlineStr">
        <is>
          <t>% de imágenes ACT que se suben a la nube</t>
        </is>
      </c>
      <c r="C36" s="10" t="n">
        <v>0.02</v>
      </c>
      <c r="D36" t="inlineStr">
        <is>
          <t>%</t>
        </is>
      </c>
      <c r="E36" t="inlineStr">
        <is>
          <t>Supuesto</t>
        </is>
      </c>
      <c r="F36" s="3" t="inlineStr">
        <is>
          <t>Todas las REVIEW/REJECT + muestra de ACT</t>
        </is>
      </c>
      <c r="G36" t="inlineStr">
        <is>
          <t>2026-10-24</t>
        </is>
      </c>
    </row>
    <row r="37">
      <c r="A37" t="inlineStr">
        <is>
          <t>pct_subidas</t>
        </is>
      </c>
      <c r="B37" s="3" t="inlineStr">
        <is>
          <t>% de imágenes subidas a la nube</t>
        </is>
      </c>
      <c r="C37" s="12">
        <f>(1-pct_automatizado)+pct_automatizado*muestreo_act</f>
        <v/>
      </c>
      <c r="D37" t="inlineStr">
        <is>
          <t>%</t>
        </is>
      </c>
      <c r="E37" t="inlineStr">
        <is>
          <t>Calculado</t>
        </is>
      </c>
      <c r="F37" s="3" t="inlineStr"/>
      <c r="G37" t="inlineStr">
        <is>
          <t>2026-10-24</t>
        </is>
      </c>
    </row>
    <row r="38">
      <c r="A38" t="inlineStr">
        <is>
          <t>kb_imagen</t>
        </is>
      </c>
      <c r="B38" s="3" t="inlineStr">
        <is>
          <t>Tamaño medio por imagen subida (JPEG, anonimizada)</t>
        </is>
      </c>
      <c r="C38" s="7" t="n">
        <v>150</v>
      </c>
      <c r="D38" t="inlineStr">
        <is>
          <t>KB</t>
        </is>
      </c>
      <c r="E38" t="inlineStr">
        <is>
          <t>Supuesto</t>
        </is>
      </c>
      <c r="F38" s="3" t="inlineStr">
        <is>
          <t>Cámara ~1,3 MP comprimida</t>
        </is>
      </c>
      <c r="G38" t="inlineStr">
        <is>
          <t>2026-10-24</t>
        </is>
      </c>
    </row>
    <row r="39">
      <c r="A39" t="inlineStr">
        <is>
          <t>img_dia_estacion</t>
        </is>
      </c>
      <c r="B39" s="3" t="inlineStr">
        <is>
          <t>Imágenes subidas por día por estación</t>
        </is>
      </c>
      <c r="C39" s="13">
        <f>throughput_obj_h*24*pct_subidas</f>
        <v/>
      </c>
      <c r="D39" t="inlineStr">
        <is>
          <t>img/día</t>
        </is>
      </c>
      <c r="E39" t="inlineStr">
        <is>
          <t>Calculado</t>
        </is>
      </c>
      <c r="F39" s="3" t="inlineStr">
        <is>
          <t>Se suben directo a Blob/S3 desde el borde (no por IoT Hub/IoT Core)</t>
        </is>
      </c>
      <c r="G39" t="inlineStr">
        <is>
          <t>2026-10-24</t>
        </is>
      </c>
    </row>
    <row r="40">
      <c r="A40" t="inlineStr">
        <is>
          <t>gb_imagenes_mes_est</t>
        </is>
      </c>
      <c r="B40" s="3" t="inlineStr">
        <is>
          <t>GB de imágenes nuevas por mes por estación</t>
        </is>
      </c>
      <c r="C40" s="8">
        <f>throughput_obj_h*horas_mes*pct_subidas*kb_imagen/1024/1024</f>
        <v/>
      </c>
      <c r="D40" t="inlineStr">
        <is>
          <t>GB/mes</t>
        </is>
      </c>
      <c r="E40" t="inlineStr">
        <is>
          <t>Calculado</t>
        </is>
      </c>
      <c r="F40" s="3" t="inlineStr"/>
      <c r="G40" t="inlineStr">
        <is>
          <t>2026-10-24</t>
        </is>
      </c>
    </row>
    <row r="41">
      <c r="A41" t="inlineStr">
        <is>
          <t>dias_hot</t>
        </is>
      </c>
      <c r="B41" s="3" t="inlineStr">
        <is>
          <t>Días en tier caliente (Hot / S3 Standard)</t>
        </is>
      </c>
      <c r="C41" s="7" t="n">
        <v>30</v>
      </c>
      <c r="D41" t="inlineStr">
        <is>
          <t>días</t>
        </is>
      </c>
      <c r="E41" t="inlineStr">
        <is>
          <t>Supuesto</t>
        </is>
      </c>
      <c r="F41" s="3" t="inlineStr"/>
      <c r="G41" t="inlineStr">
        <is>
          <t>2026-10-24</t>
        </is>
      </c>
    </row>
    <row r="42">
      <c r="A42" t="inlineStr">
        <is>
          <t>dias_cool</t>
        </is>
      </c>
      <c r="B42" s="3" t="inlineStr">
        <is>
          <t>Días en tier frío (Cool / S3 Standard-IA)</t>
        </is>
      </c>
      <c r="C42" s="7" t="n">
        <v>150</v>
      </c>
      <c r="D42" t="inlineStr">
        <is>
          <t>días</t>
        </is>
      </c>
      <c r="E42" t="inlineStr">
        <is>
          <t>Supuesto</t>
        </is>
      </c>
      <c r="F42" s="3" t="inlineStr">
        <is>
          <t>Del día 31 al 180</t>
        </is>
      </c>
      <c r="G42" t="inlineStr">
        <is>
          <t>2026-10-24</t>
        </is>
      </c>
    </row>
    <row r="43">
      <c r="A43" t="inlineStr">
        <is>
          <t>dias_archivo</t>
        </is>
      </c>
      <c r="B43" s="3" t="inlineStr">
        <is>
          <t>Días en archivo (Archive / Glacier Deep Archive)</t>
        </is>
      </c>
      <c r="C43" s="7" t="n">
        <v>915</v>
      </c>
      <c r="D43" t="inlineStr">
        <is>
          <t>días</t>
        </is>
      </c>
      <c r="E43" t="inlineStr">
        <is>
          <t>Supuesto</t>
        </is>
      </c>
      <c r="F43" s="3" t="inlineStr">
        <is>
          <t>Hasta 3 años de retención</t>
        </is>
      </c>
      <c r="G43" t="inlineStr">
        <is>
          <t>2026-10-24</t>
        </is>
      </c>
    </row>
    <row r="44">
      <c r="A44" t="inlineStr">
        <is>
          <t>gb_auditoria</t>
        </is>
      </c>
      <c r="B44" s="3" t="inlineStr">
        <is>
          <t>GB acumulados en la cuenta de auditoría (ZRS, inmutable)</t>
        </is>
      </c>
      <c r="C44" s="7" t="n">
        <v>20</v>
      </c>
      <c r="D44" t="inlineStr">
        <is>
          <t>GB</t>
        </is>
      </c>
      <c r="E44" t="inlineStr">
        <is>
          <t>Supuesto</t>
        </is>
      </c>
      <c r="F44" s="3" t="inlineStr">
        <is>
          <t>Exportación diaria de la tabla de auditoría</t>
        </is>
      </c>
      <c r="G44" t="inlineStr">
        <is>
          <t>2026-10-24</t>
        </is>
      </c>
    </row>
    <row r="45">
      <c r="A45" t="inlineStr">
        <is>
          <t>msgs_telemetria_dia</t>
        </is>
      </c>
      <c r="B45" s="3" t="inlineStr">
        <is>
          <t>Mensajes de telemetría por día por estación (≤ 4 KB)</t>
        </is>
      </c>
      <c r="C45" s="7" t="n">
        <v>3000</v>
      </c>
      <c r="D45" t="inlineStr">
        <is>
          <t>msgs/día</t>
        </is>
      </c>
      <c r="E45" t="inlineStr">
        <is>
          <t>Supuesto</t>
        </is>
      </c>
      <c r="F45" s="3" t="inlineStr">
        <is>
          <t>Métricas agregadas cada 30 s + eventos</t>
        </is>
      </c>
      <c r="G45" t="inlineStr">
        <is>
          <t>2026-10-24</t>
        </is>
      </c>
    </row>
    <row r="46">
      <c r="A46" t="inlineStr">
        <is>
          <t>msgs_dia_estacion</t>
        </is>
      </c>
      <c r="B46" s="3" t="inlineStr">
        <is>
          <t>Mensajes IoT por día por estación (telemetría + 1 aviso de metadatos por imagen subida)</t>
        </is>
      </c>
      <c r="C46" s="13">
        <f>msgs_telemetria_dia+img_dia_estacion</f>
        <v/>
      </c>
      <c r="D46" t="inlineStr">
        <is>
          <t>msgs/día</t>
        </is>
      </c>
      <c r="E46" t="inlineStr">
        <is>
          <t>Calculado</t>
        </is>
      </c>
      <c r="F46" s="3" t="inlineStr">
        <is>
          <t>Los bytes de la imagen no pasan por IoT Hub; solo un mensaje pequeño con su referencia</t>
        </is>
      </c>
      <c r="G46" t="inlineStr">
        <is>
          <t>2026-10-24</t>
        </is>
      </c>
    </row>
    <row r="47">
      <c r="A47" t="inlineStr">
        <is>
          <t>gb_logs_mes</t>
        </is>
      </c>
      <c r="B47" s="3" t="inlineStr">
        <is>
          <t>GB de logs / trazas por mes</t>
        </is>
      </c>
      <c r="C47" s="7" t="n">
        <v>10</v>
      </c>
      <c r="D47" t="inlineStr">
        <is>
          <t>GB/mes</t>
        </is>
      </c>
      <c r="E47" t="inlineStr">
        <is>
          <t>Supuesto</t>
        </is>
      </c>
      <c r="F47" s="3" t="inlineStr">
        <is>
          <t>Con muestreo de trazas</t>
        </is>
      </c>
      <c r="G47" t="inlineStr">
        <is>
          <t>2026-10-24</t>
        </is>
      </c>
    </row>
    <row r="48">
      <c r="A48" s="5" t="inlineStr">
        <is>
          <t>Asistente agéntico (LLM)</t>
        </is>
      </c>
      <c r="B48" s="6" t="n"/>
      <c r="C48" s="6" t="n"/>
      <c r="D48" s="6" t="n"/>
      <c r="E48" s="6" t="n"/>
      <c r="F48" s="6" t="n"/>
      <c r="G48" s="6" t="n"/>
    </row>
    <row r="49">
      <c r="A49" t="inlineStr">
        <is>
          <t>conv_dia_base</t>
        </is>
      </c>
      <c r="B49" s="3" t="inlineStr">
        <is>
          <t>Conversaciones por día (base por planta)</t>
        </is>
      </c>
      <c r="C49" s="7" t="n">
        <v>40</v>
      </c>
      <c r="D49" t="inlineStr">
        <is>
          <t>conv/día</t>
        </is>
      </c>
      <c r="E49" t="inlineStr">
        <is>
          <t>Supuesto</t>
        </is>
      </c>
      <c r="F49" s="3" t="inlineStr"/>
      <c r="G49" t="inlineStr">
        <is>
          <t>2026-10-24</t>
        </is>
      </c>
    </row>
    <row r="50">
      <c r="A50" t="inlineStr">
        <is>
          <t>conv_dia_estacion</t>
        </is>
      </c>
      <c r="B50" s="3" t="inlineStr">
        <is>
          <t>Conversaciones adicionales por día por estación</t>
        </is>
      </c>
      <c r="C50" s="7" t="n">
        <v>20</v>
      </c>
      <c r="D50" t="inlineStr">
        <is>
          <t>conv/día</t>
        </is>
      </c>
      <c r="E50" t="inlineStr">
        <is>
          <t>Supuesto</t>
        </is>
      </c>
      <c r="F50" s="3" t="inlineStr"/>
      <c r="G50" t="inlineStr">
        <is>
          <t>2026-10-24</t>
        </is>
      </c>
    </row>
    <row r="51">
      <c r="A51" t="inlineStr">
        <is>
          <t>conv_mes</t>
        </is>
      </c>
      <c r="B51" s="3" t="inlineStr">
        <is>
          <t>Conversaciones por mes</t>
        </is>
      </c>
      <c r="C51" s="13">
        <f>(conv_dia_base+conv_dia_estacion*estaciones)*dias_mes</f>
        <v/>
      </c>
      <c r="D51" t="inlineStr">
        <is>
          <t>conv/mes</t>
        </is>
      </c>
      <c r="E51" t="inlineStr">
        <is>
          <t>Calculado</t>
        </is>
      </c>
      <c r="F51" s="3" t="inlineStr"/>
      <c r="G51" t="inlineStr">
        <is>
          <t>2026-10-24</t>
        </is>
      </c>
    </row>
    <row r="52">
      <c r="A52" t="inlineStr">
        <is>
          <t>tok_in_conv</t>
        </is>
      </c>
      <c r="B52" s="3" t="inlineStr">
        <is>
          <t>Tokens de entrada por conversación (multi-turno, con tools)</t>
        </is>
      </c>
      <c r="C52" s="7" t="n">
        <v>25000</v>
      </c>
      <c r="D52" t="inlineStr">
        <is>
          <t>tokens</t>
        </is>
      </c>
      <c r="E52" t="inlineStr">
        <is>
          <t>Supuesto</t>
        </is>
      </c>
      <c r="F52" s="3" t="inlineStr">
        <is>
          <t>Medir con `usage` del agente</t>
        </is>
      </c>
      <c r="G52" t="inlineStr">
        <is>
          <t>2026-10-24</t>
        </is>
      </c>
    </row>
    <row r="53">
      <c r="A53" t="inlineStr">
        <is>
          <t>tok_out_conv</t>
        </is>
      </c>
      <c r="B53" s="3" t="inlineStr">
        <is>
          <t>Tokens de salida por conversación</t>
        </is>
      </c>
      <c r="C53" s="7" t="n">
        <v>1500</v>
      </c>
      <c r="D53" t="inlineStr">
        <is>
          <t>tokens</t>
        </is>
      </c>
      <c r="E53" t="inlineStr">
        <is>
          <t>Supuesto</t>
        </is>
      </c>
      <c r="F53" s="3" t="inlineStr"/>
      <c r="G53" t="inlineStr">
        <is>
          <t>2026-10-24</t>
        </is>
      </c>
    </row>
    <row r="54">
      <c r="A54" t="inlineStr">
        <is>
          <t>pct_cache</t>
        </is>
      </c>
      <c r="B54" s="3" t="inlineStr">
        <is>
          <t>% de tokens de entrada servidos desde caché</t>
        </is>
      </c>
      <c r="C54" s="10" t="n">
        <v>0.5</v>
      </c>
      <c r="D54" t="inlineStr">
        <is>
          <t>%</t>
        </is>
      </c>
      <c r="E54" t="inlineStr">
        <is>
          <t>Supuesto</t>
        </is>
      </c>
      <c r="F54" s="3" t="inlineStr">
        <is>
          <t>Prompt de sistema y tools estables</t>
        </is>
      </c>
      <c r="G54" t="inlineStr">
        <is>
          <t>2026-10-24</t>
        </is>
      </c>
    </row>
    <row r="55">
      <c r="A55" t="inlineStr">
        <is>
          <t>pct_modelo_grande</t>
        </is>
      </c>
      <c r="B55" s="3" t="inlineStr">
        <is>
          <t>% de conversaciones enrutadas al modelo grande</t>
        </is>
      </c>
      <c r="C55" s="10" t="n">
        <v>0.15</v>
      </c>
      <c r="D55" t="inlineStr">
        <is>
          <t>%</t>
        </is>
      </c>
      <c r="E55" t="inlineStr">
        <is>
          <t>Supuesto</t>
        </is>
      </c>
      <c r="F55" s="3" t="inlineStr">
        <is>
          <t>Solo diagnósticos complejos</t>
        </is>
      </c>
      <c r="G55" t="inlineStr">
        <is>
          <t>2026-10-24</t>
        </is>
      </c>
    </row>
    <row r="56">
      <c r="A56" t="inlineStr">
        <is>
          <t>tok_embed_mes</t>
        </is>
      </c>
      <c r="B56" s="3" t="inlineStr">
        <is>
          <t>Tokens de embeddings por mes (reindexado SOP)</t>
        </is>
      </c>
      <c r="C56" s="7" t="n">
        <v>2000000</v>
      </c>
      <c r="D56" t="inlineStr">
        <is>
          <t>tokens</t>
        </is>
      </c>
      <c r="E56" t="inlineStr">
        <is>
          <t>Supuesto</t>
        </is>
      </c>
      <c r="F56" s="3" t="inlineStr"/>
      <c r="G56" t="inlineStr">
        <is>
          <t>2026-10-24</t>
        </is>
      </c>
    </row>
    <row r="57">
      <c r="A57" s="5" t="inlineStr">
        <is>
          <t>CAPEX e implementación (pago único)</t>
        </is>
      </c>
      <c r="B57" s="6" t="n"/>
      <c r="C57" s="6" t="n"/>
      <c r="D57" s="6" t="n"/>
      <c r="E57" s="6" t="n"/>
      <c r="F57" s="6" t="n"/>
      <c r="G57" s="6" t="n"/>
    </row>
    <row r="58">
      <c r="A58" t="inlineStr">
        <is>
          <t>capex_pc</t>
        </is>
      </c>
      <c r="B58" s="3" t="inlineStr">
        <is>
          <t>PC industrial fanless por estación</t>
        </is>
      </c>
      <c r="C58" s="14" t="n">
        <v>3000</v>
      </c>
      <c r="D58" t="inlineStr">
        <is>
          <t>USD</t>
        </is>
      </c>
      <c r="E58" t="inlineStr">
        <is>
          <t>Supuesto</t>
        </is>
      </c>
      <c r="F58" s="3" t="inlineStr">
        <is>
          <t>Rango de mercado USD 2.000-4.000</t>
        </is>
      </c>
      <c r="G58" t="inlineStr">
        <is>
          <t>2026-10-24</t>
        </is>
      </c>
    </row>
    <row r="59">
      <c r="A59" t="inlineStr">
        <is>
          <t>capex_camara</t>
        </is>
      </c>
      <c r="B59" s="3" t="inlineStr">
        <is>
          <t>Cámara industrial + óptica + iluminación + soporte</t>
        </is>
      </c>
      <c r="C59" s="14" t="n">
        <v>2500</v>
      </c>
      <c r="D59" t="inlineStr">
        <is>
          <t>USD</t>
        </is>
      </c>
      <c r="E59" t="inlineStr">
        <is>
          <t>Supuesto</t>
        </is>
      </c>
      <c r="F59" s="3" t="inlineStr"/>
      <c r="G59" t="inlineStr">
        <is>
          <t>2026-10-24</t>
        </is>
      </c>
    </row>
    <row r="60">
      <c r="A60" t="inlineStr">
        <is>
          <t>capex_integracion</t>
        </is>
      </c>
      <c r="B60" s="3" t="inlineStr">
        <is>
          <t>Integración PLC/robot y puesta en marcha por estación</t>
        </is>
      </c>
      <c r="C60" s="14" t="n">
        <v>15000</v>
      </c>
      <c r="D60" t="inlineStr">
        <is>
          <t>USD</t>
        </is>
      </c>
      <c r="E60" t="inlineStr">
        <is>
          <t>Supuesto</t>
        </is>
      </c>
      <c r="F60" s="3" t="inlineStr">
        <is>
          <t>Ingeniería de automatización, calibración, FAT/SAT</t>
        </is>
      </c>
      <c r="G60" t="inlineStr">
        <is>
          <t>2026-10-24</t>
        </is>
      </c>
    </row>
    <row r="61">
      <c r="A61" t="inlineStr">
        <is>
          <t>capex_planta</t>
        </is>
      </c>
      <c r="B61" s="3" t="inlineStr">
        <is>
          <t>Implementación por planta (piloto, validación, capacitación, nube)</t>
        </is>
      </c>
      <c r="C61" s="14" t="n">
        <v>30000</v>
      </c>
      <c r="D61" t="inlineStr">
        <is>
          <t>USD</t>
        </is>
      </c>
      <c r="E61" t="inlineStr">
        <is>
          <t>Supuesto</t>
        </is>
      </c>
      <c r="F61" s="3" t="inlineStr"/>
      <c r="G61" t="inlineStr">
        <is>
          <t>2026-10-24</t>
        </is>
      </c>
    </row>
    <row r="62">
      <c r="A62" t="inlineStr">
        <is>
          <t>pct_mant_hw</t>
        </is>
      </c>
      <c r="B62" s="3" t="inlineStr">
        <is>
          <t>Mantenimiento anual del hardware de borde</t>
        </is>
      </c>
      <c r="C62" s="10" t="n">
        <v>0.1</v>
      </c>
      <c r="D62" t="inlineStr">
        <is>
          <t>%/año</t>
        </is>
      </c>
      <c r="E62" t="inlineStr">
        <is>
          <t>Supuesto</t>
        </is>
      </c>
      <c r="F62" s="3" t="inlineStr"/>
      <c r="G62" t="inlineStr">
        <is>
          <t>2026-10-24</t>
        </is>
      </c>
    </row>
    <row r="63">
      <c r="A63" s="5" t="inlineStr">
        <is>
          <t>Producción en la nube</t>
        </is>
      </c>
      <c r="B63" s="6" t="n"/>
      <c r="C63" s="6" t="n"/>
      <c r="D63" s="6" t="n"/>
      <c r="E63" s="6" t="n"/>
      <c r="F63" s="6" t="n"/>
      <c r="G63" s="6" t="n"/>
    </row>
    <row r="64">
      <c r="A64" t="inlineStr">
        <is>
          <t>replicas_agente</t>
        </is>
      </c>
      <c r="B64" s="3" t="inlineStr">
        <is>
          <t>Réplicas mínimas del agente en horario de turnos</t>
        </is>
      </c>
      <c r="C64" s="7" t="n">
        <v>2</v>
      </c>
      <c r="D64" t="inlineStr">
        <is>
          <t>réplicas</t>
        </is>
      </c>
      <c r="E64" t="inlineStr">
        <is>
          <t>Supuesto</t>
        </is>
      </c>
      <c r="F64" s="3" t="inlineStr">
        <is>
          <t>≥ 2 para que la redundancia de zona de Container Apps / ECS en 2 AZ sea real</t>
        </is>
      </c>
      <c r="G64" t="inlineStr">
        <is>
          <t>2026-10-24</t>
        </is>
      </c>
    </row>
    <row r="65">
      <c r="A65" t="inlineStr">
        <is>
          <t>replicas_bd</t>
        </is>
      </c>
      <c r="B65" s="3" t="inlineStr">
        <is>
          <t>Réplicas de base de datos (1 = sin HA, 2 = HA de zona)</t>
        </is>
      </c>
      <c r="C65" s="7" t="n">
        <v>2</v>
      </c>
      <c r="D65" t="inlineStr">
        <is>
          <t>réplicas</t>
        </is>
      </c>
      <c r="E65" t="inlineStr">
        <is>
          <t>Supuesto</t>
        </is>
      </c>
      <c r="F65" s="3" t="inlineStr">
        <is>
          <t>Producción: HA. Piloto: 1</t>
        </is>
      </c>
      <c r="G65" t="inlineStr">
        <is>
          <t>2026-10-24</t>
        </is>
      </c>
    </row>
    <row r="66">
      <c r="A66" t="inlineStr">
        <is>
          <t>horas_activas_vision_cloud</t>
        </is>
      </c>
      <c r="B66" s="3" t="inlineStr">
        <is>
          <t>Horas activas/mes del servicio de visión en nube (no tiempo real)</t>
        </is>
      </c>
      <c r="C66" s="7" t="n">
        <v>60</v>
      </c>
      <c r="D66" t="inlineStr">
        <is>
          <t>h/mes</t>
        </is>
      </c>
      <c r="E66" t="inlineStr">
        <is>
          <t>Supuesto</t>
        </is>
      </c>
      <c r="F66" s="3" t="inlineStr">
        <is>
          <t>Escala a cero</t>
        </is>
      </c>
      <c r="G66" t="inlineStr">
        <is>
          <t>2026-10-24</t>
        </is>
      </c>
    </row>
    <row r="67">
      <c r="A67" t="inlineStr">
        <is>
          <t>horas_entrenamiento</t>
        </is>
      </c>
      <c r="B67" s="3" t="inlineStr">
        <is>
          <t>Horas de cómputo de reentrenamiento al mes</t>
        </is>
      </c>
      <c r="C67" s="7" t="n">
        <v>10</v>
      </c>
      <c r="D67" t="inlineStr">
        <is>
          <t>h/mes</t>
        </is>
      </c>
      <c r="E67" t="inlineStr">
        <is>
          <t>Supuesto</t>
        </is>
      </c>
      <c r="F67" s="3" t="inlineStr"/>
      <c r="G67" t="inlineStr">
        <is>
          <t>2026-10-24</t>
        </is>
      </c>
    </row>
    <row r="68">
      <c r="A68" t="inlineStr">
        <is>
          <t>uplift_ue</t>
        </is>
      </c>
      <c r="B68" s="3" t="inlineStr">
        <is>
          <t>Factor de precio UE vs EE. UU. cuando no hay precio UE verificado</t>
        </is>
      </c>
      <c r="C68" s="9" t="n">
        <v>1.1</v>
      </c>
      <c r="D68" t="inlineStr">
        <is>
          <t>×</t>
        </is>
      </c>
      <c r="E68" t="inlineStr">
        <is>
          <t>Supuesto</t>
        </is>
      </c>
      <c r="F68" s="3" t="inlineStr">
        <is>
          <t>Solo se usa en filas UE marcadas 'Estimado (US × factor UE)'</t>
        </is>
      </c>
      <c r="G68" t="inlineStr">
        <is>
          <t>2026-10-24</t>
        </is>
      </c>
    </row>
  </sheetData>
  <mergeCells count="1">
    <mergeCell ref="A2:G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Costo de la operación manual actual</t>
        </is>
      </c>
      <c r="B1" s="2" t="n"/>
      <c r="C1" s="2" t="n"/>
      <c r="D1" s="2" t="n"/>
    </row>
    <row r="2" ht="60" customHeight="1">
      <c r="A2" s="3" t="inlineStr">
        <is>
          <t>Un operador por turno por estación, 24×5. USD por mes.</t>
        </is>
      </c>
    </row>
    <row r="4">
      <c r="A4" s="4" t="inlineStr">
        <is>
          <t>Concepto</t>
        </is>
      </c>
      <c r="B4" s="4" t="inlineStr">
        <is>
          <t>Colombia</t>
        </is>
      </c>
      <c r="C4" s="4" t="inlineStr">
        <is>
          <t>España</t>
        </is>
      </c>
      <c r="D4" s="4" t="inlineStr">
        <is>
          <t>Cómo se calcula</t>
        </is>
      </c>
    </row>
    <row r="5">
      <c r="A5" t="inlineStr">
        <is>
          <t>Horas de puesto por mes por estación</t>
        </is>
      </c>
      <c r="B5" s="8">
        <f>horas_mes*operadores_turno</f>
        <v/>
      </c>
      <c r="C5" s="8">
        <f>horas_mes*operadores_turno</f>
        <v/>
      </c>
      <c r="D5" t="inlineStr">
        <is>
          <t>horas_mes × operadores por turno</t>
        </is>
      </c>
    </row>
    <row r="6">
      <c r="A6" t="inlineStr">
        <is>
          <t>Horas pagadas por mes por estación (con cobertura)</t>
        </is>
      </c>
      <c r="B6" s="8">
        <f>B5*factor_cobertura</f>
        <v/>
      </c>
      <c r="C6" s="8">
        <f>C5*factor_cobertura</f>
        <v/>
      </c>
      <c r="D6" t="inlineStr">
        <is>
          <t>× factor de cobertura</t>
        </is>
      </c>
    </row>
    <row r="7">
      <c r="A7" t="inlineStr">
        <is>
          <t>Costo cargado por hora</t>
        </is>
      </c>
      <c r="B7" s="11">
        <f>costo_hora_co</f>
        <v/>
      </c>
      <c r="C7" s="11">
        <f>costo_hora_es</f>
        <v/>
      </c>
      <c r="D7" t="inlineStr">
        <is>
          <t>Ver Supuestos</t>
        </is>
      </c>
    </row>
    <row r="8">
      <c r="A8" t="inlineStr">
        <is>
          <t>Costo mensual por estación</t>
        </is>
      </c>
      <c r="B8" s="15">
        <f>B6*B7</f>
        <v/>
      </c>
      <c r="C8" s="15">
        <f>C6*C7</f>
        <v/>
      </c>
      <c r="D8" t="inlineStr">
        <is>
          <t>Horas pagadas × costo hora</t>
        </is>
      </c>
    </row>
    <row r="9">
      <c r="A9" t="inlineStr">
        <is>
          <t>Estaciones</t>
        </is>
      </c>
      <c r="B9" s="13">
        <f>estaciones</f>
        <v/>
      </c>
      <c r="C9" s="13">
        <f>estaciones</f>
        <v/>
      </c>
      <c r="D9" t="inlineStr"/>
    </row>
    <row r="10">
      <c r="A10" s="16" t="inlineStr">
        <is>
          <t>Costo mensual de la operación actual</t>
        </is>
      </c>
      <c r="B10" s="17">
        <f>B8*B9*plantas</f>
        <v/>
      </c>
      <c r="C10" s="17">
        <f>C8*C9*plantas</f>
        <v/>
      </c>
      <c r="D10" t="inlineStr">
        <is>
          <t>Por estación × estaciones × plantas</t>
        </is>
      </c>
    </row>
    <row r="11">
      <c r="A11" t="inlineStr">
        <is>
          <t>Costo anual de la operación actual</t>
        </is>
      </c>
      <c r="B11" s="15">
        <f>B10*12</f>
        <v/>
      </c>
      <c r="C11" s="15">
        <f>C10*12</f>
        <v/>
      </c>
      <c r="D11" t="inlineStr"/>
    </row>
    <row r="12">
      <c r="A12" t="inlineStr">
        <is>
          <t>Personas en nómina equivalentes (FTE)</t>
        </is>
      </c>
      <c r="B12" s="8">
        <f>B6*B9*plantas/horas_lab_mes_co</f>
        <v/>
      </c>
      <c r="C12" s="8">
        <f>C6*C9*plantas/(horas_anuales_es/12)</f>
        <v/>
      </c>
      <c r="D12" t="inlineStr">
        <is>
          <t>Horas pagadas / horas contratadas por persona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4" customWidth="1" min="2" max="2"/>
    <col width="12" customWidth="1" min="3" max="3"/>
    <col width="12" customWidth="1" min="4" max="4"/>
    <col width="13" customWidth="1" min="5" max="5"/>
    <col width="13" customWidth="1" min="6" max="6"/>
    <col width="8" customWidth="1" min="7" max="7"/>
    <col width="13" customWidth="1" min="8" max="8"/>
    <col width="13" customWidth="1" min="9" max="9"/>
    <col width="14" customWidth="1" min="10" max="10"/>
    <col width="10" customWidth="1" min="11" max="11"/>
    <col width="14" customWidth="1" min="12" max="12"/>
    <col width="16" customWidth="1" min="13" max="13"/>
    <col width="18" customWidth="1" min="14" max="14"/>
    <col width="40" customWidth="1" min="15" max="15"/>
    <col width="50" customWidth="1" min="16" max="16"/>
  </cols>
  <sheetData>
    <row r="1">
      <c r="A1" s="1" t="inlineStr">
        <is>
          <t>Azure — costo mensual por servicio y región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60" customHeight="1">
      <c r="A2" s="3" t="inlineStr">
        <is>
          <t>Precios de la Azure Retail Prices API consultados el 2026-10-24: East US 2 (escenario Colombia) y Spain Central (escenario España). 'API verificada' = medidor exacto encontrado (ver hoja Fuentes); 'Estimado' (naranja) = referencia sin medidor localizado. Costo = precio × cantidad × incluir.</t>
        </is>
      </c>
    </row>
    <row r="4">
      <c r="A4" s="4" t="inlineStr">
        <is>
          <t>Servicio</t>
        </is>
      </c>
      <c r="B4" s="4" t="inlineStr">
        <is>
          <t>SKU / medidor</t>
        </is>
      </c>
      <c r="C4" s="4" t="inlineStr">
        <is>
          <t>Precio EE. UU. (USD)</t>
        </is>
      </c>
      <c r="D4" s="4" t="inlineStr">
        <is>
          <t>Precio UE-España (USD)</t>
        </is>
      </c>
      <c r="E4" s="4" t="inlineStr">
        <is>
          <t>Unidad de precio</t>
        </is>
      </c>
      <c r="F4" s="4" t="inlineStr">
        <is>
          <t>Cantidad mensual</t>
        </is>
      </c>
      <c r="G4" s="4" t="inlineStr">
        <is>
          <t>Incluir (1/0)</t>
        </is>
      </c>
      <c r="H4" s="4" t="inlineStr">
        <is>
          <t>Costo EE. UU. (USD/mes)</t>
        </is>
      </c>
      <c r="I4" s="4" t="inlineStr">
        <is>
          <t>Costo UE (USD/mes)</t>
        </is>
      </c>
      <c r="J4" s="4" t="inlineStr">
        <is>
          <t>Tipo</t>
        </is>
      </c>
      <c r="K4" s="4" t="inlineStr">
        <is>
          <t>Escala con imágenes (1/0)</t>
        </is>
      </c>
      <c r="L4" s="4" t="inlineStr">
        <is>
          <t>Estado precio EE. UU.</t>
        </is>
      </c>
      <c r="M4" s="4" t="inlineStr">
        <is>
          <t>Estado precio UE</t>
        </is>
      </c>
      <c r="N4" s="4" t="inlineStr">
        <is>
          <t>Clave de precio (ver Fuentes)</t>
        </is>
      </c>
      <c r="O4" s="4" t="inlineStr">
        <is>
          <t>Referencia</t>
        </is>
      </c>
      <c r="P4" s="4" t="inlineStr">
        <is>
          <t>Cómo se calcula la cantidad</t>
        </is>
      </c>
    </row>
    <row r="5">
      <c r="A5" s="5" t="inlineStr">
        <is>
          <t>Plano de nube — cómputo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>
      <c r="A6" s="18" t="inlineStr">
        <is>
          <t>Container Apps (agente)</t>
        </is>
      </c>
      <c r="B6" s="19" t="inlineStr">
        <is>
          <t>Consumo · vCPU activa (0,5 vCPU por réplica)</t>
        </is>
      </c>
      <c r="C6" s="20" t="n">
        <v>2.4e-05</v>
      </c>
      <c r="D6" s="20" t="n">
        <v>3.4e-05</v>
      </c>
      <c r="E6" s="18" t="inlineStr">
        <is>
          <t>vCPU-segundo</t>
        </is>
      </c>
      <c r="F6" s="8">
        <f>replicas_agente*0.5*3600*horas_mes</f>
        <v/>
      </c>
      <c r="G6" s="21" t="n">
        <v>1</v>
      </c>
      <c r="H6" s="11">
        <f>C6*F6*G6</f>
        <v/>
      </c>
      <c r="I6" s="11">
        <f>D6*F6*G6</f>
        <v/>
      </c>
      <c r="J6" s="18" t="inlineStr">
        <is>
          <t>Plataforma fija</t>
        </is>
      </c>
      <c r="K6" s="21" t="n">
        <v>0</v>
      </c>
      <c r="L6" s="18" t="inlineStr">
        <is>
          <t>API verificada</t>
        </is>
      </c>
      <c r="M6" s="18" t="inlineStr">
        <is>
          <t>API verificada</t>
        </is>
      </c>
      <c r="N6" s="18" t="inlineStr">
        <is>
          <t>az_aca_vcpu</t>
        </is>
      </c>
      <c r="O6" s="19" t="inlineStr"/>
      <c r="P6" s="19" t="inlineStr">
        <is>
          <t>réplicas × 0,5 vCPU × horas de operación (2 réplicas en zonas distintas). Sin descontar la cuota gratuita</t>
        </is>
      </c>
    </row>
    <row r="7">
      <c r="A7" s="18" t="inlineStr">
        <is>
          <t>Container Apps (agente)</t>
        </is>
      </c>
      <c r="B7" s="19" t="inlineStr">
        <is>
          <t>Consumo · memoria activa (1 GiB por réplica)</t>
        </is>
      </c>
      <c r="C7" s="20" t="n">
        <v>3e-06</v>
      </c>
      <c r="D7" s="20" t="n">
        <v>4e-06</v>
      </c>
      <c r="E7" s="18" t="inlineStr">
        <is>
          <t>GiB-segundo</t>
        </is>
      </c>
      <c r="F7" s="8">
        <f>replicas_agente*1*3600*horas_mes</f>
        <v/>
      </c>
      <c r="G7" s="21" t="n">
        <v>1</v>
      </c>
      <c r="H7" s="11">
        <f>C7*F7*G7</f>
        <v/>
      </c>
      <c r="I7" s="11">
        <f>D7*F7*G7</f>
        <v/>
      </c>
      <c r="J7" s="18" t="inlineStr">
        <is>
          <t>Plataforma fija</t>
        </is>
      </c>
      <c r="K7" s="21" t="n">
        <v>0</v>
      </c>
      <c r="L7" s="18" t="inlineStr">
        <is>
          <t>API verificada</t>
        </is>
      </c>
      <c r="M7" s="18" t="inlineStr">
        <is>
          <t>API verificada</t>
        </is>
      </c>
      <c r="N7" s="18" t="inlineStr">
        <is>
          <t>az_aca_mem</t>
        </is>
      </c>
      <c r="O7" s="19" t="inlineStr"/>
      <c r="P7" s="19" t="inlineStr">
        <is>
          <t>réplicas × 1 GiB × horas</t>
        </is>
      </c>
    </row>
    <row r="8">
      <c r="A8" s="18" t="inlineStr">
        <is>
          <t>Container Apps (visión no tiempo real)</t>
        </is>
      </c>
      <c r="B8" s="19" t="inlineStr">
        <is>
          <t>Consumo · vCPU activa (1 vCPU)</t>
        </is>
      </c>
      <c r="C8" s="20" t="n">
        <v>2.4e-05</v>
      </c>
      <c r="D8" s="20" t="n">
        <v>3.4e-05</v>
      </c>
      <c r="E8" s="18" t="inlineStr">
        <is>
          <t>vCPU-segundo</t>
        </is>
      </c>
      <c r="F8" s="8">
        <f>3600*horas_activas_vision_cloud</f>
        <v/>
      </c>
      <c r="G8" s="21" t="n">
        <v>1</v>
      </c>
      <c r="H8" s="11">
        <f>C8*F8*G8</f>
        <v/>
      </c>
      <c r="I8" s="11">
        <f>D8*F8*G8</f>
        <v/>
      </c>
      <c r="J8" s="18" t="inlineStr">
        <is>
          <t>Plataforma fija</t>
        </is>
      </c>
      <c r="K8" s="21" t="n">
        <v>0</v>
      </c>
      <c r="L8" s="18" t="inlineStr">
        <is>
          <t>API verificada</t>
        </is>
      </c>
      <c r="M8" s="18" t="inlineStr">
        <is>
          <t>API verificada</t>
        </is>
      </c>
      <c r="N8" s="18" t="inlineStr">
        <is>
          <t>az_aca_vcpu</t>
        </is>
      </c>
      <c r="O8" s="19" t="inlineStr"/>
      <c r="P8" s="19" t="inlineStr">
        <is>
          <t>Escala a cero</t>
        </is>
      </c>
    </row>
    <row r="9">
      <c r="A9" s="18" t="inlineStr">
        <is>
          <t>Container Apps (visión no tiempo real)</t>
        </is>
      </c>
      <c r="B9" s="19" t="inlineStr">
        <is>
          <t>Consumo · memoria activa (2 GiB)</t>
        </is>
      </c>
      <c r="C9" s="20" t="n">
        <v>3e-06</v>
      </c>
      <c r="D9" s="20" t="n">
        <v>4e-06</v>
      </c>
      <c r="E9" s="18" t="inlineStr">
        <is>
          <t>GiB-segundo</t>
        </is>
      </c>
      <c r="F9" s="8">
        <f>2*3600*horas_activas_vision_cloud</f>
        <v/>
      </c>
      <c r="G9" s="21" t="n">
        <v>1</v>
      </c>
      <c r="H9" s="11">
        <f>C9*F9*G9</f>
        <v/>
      </c>
      <c r="I9" s="11">
        <f>D9*F9*G9</f>
        <v/>
      </c>
      <c r="J9" s="18" t="inlineStr">
        <is>
          <t>Plataforma fija</t>
        </is>
      </c>
      <c r="K9" s="21" t="n">
        <v>0</v>
      </c>
      <c r="L9" s="18" t="inlineStr">
        <is>
          <t>API verificada</t>
        </is>
      </c>
      <c r="M9" s="18" t="inlineStr">
        <is>
          <t>API verificada</t>
        </is>
      </c>
      <c r="N9" s="18" t="inlineStr">
        <is>
          <t>az_aca_mem</t>
        </is>
      </c>
      <c r="O9" s="19" t="inlineStr"/>
      <c r="P9" s="19" t="inlineStr"/>
    </row>
    <row r="10">
      <c r="A10" s="18" t="inlineStr">
        <is>
          <t>Container Apps — Private Endpoint del entorno</t>
        </is>
      </c>
      <c r="B10" s="19" t="inlineStr">
        <is>
          <t>Environment Private Endpoint</t>
        </is>
      </c>
      <c r="C10" s="20" t="n">
        <v>0.1</v>
      </c>
      <c r="D10" s="20" t="n">
        <v>0.13</v>
      </c>
      <c r="E10" s="18" t="inlineStr">
        <is>
          <t>hora</t>
        </is>
      </c>
      <c r="F10" s="8">
        <f>730</f>
        <v/>
      </c>
      <c r="G10" s="21" t="n">
        <v>1</v>
      </c>
      <c r="H10" s="11">
        <f>C10*F10*G10</f>
        <v/>
      </c>
      <c r="I10" s="11">
        <f>D10*F10*G10</f>
        <v/>
      </c>
      <c r="J10" s="18" t="inlineStr">
        <is>
          <t>Plataforma fija</t>
        </is>
      </c>
      <c r="K10" s="21" t="n">
        <v>0</v>
      </c>
      <c r="L10" s="18" t="inlineStr">
        <is>
          <t>API verificada</t>
        </is>
      </c>
      <c r="M10" s="18" t="inlineStr">
        <is>
          <t>API verificada</t>
        </is>
      </c>
      <c r="N10" s="18" t="inlineStr">
        <is>
          <t>az_aca_pe</t>
        </is>
      </c>
      <c r="O10" s="19" t="inlineStr">
        <is>
          <t>https://learn.microsoft.com/azure/container-apps/private-endpoints-with-dns</t>
        </is>
      </c>
      <c r="P10" s="19" t="inlineStr">
        <is>
          <t>Chat accesible solo desde la red corporativa</t>
        </is>
      </c>
    </row>
    <row r="11">
      <c r="A11" s="18" t="inlineStr">
        <is>
          <t>Container Registry</t>
        </is>
      </c>
      <c r="B11" s="19" t="inlineStr">
        <is>
          <t>Basic</t>
        </is>
      </c>
      <c r="C11" s="20" t="n">
        <v>0.1666</v>
      </c>
      <c r="D11" s="20" t="n">
        <v>0.1666</v>
      </c>
      <c r="E11" s="18" t="inlineStr">
        <is>
          <t>día</t>
        </is>
      </c>
      <c r="F11" s="8">
        <f>30.4</f>
        <v/>
      </c>
      <c r="G11" s="21" t="n">
        <v>1</v>
      </c>
      <c r="H11" s="11">
        <f>C11*F11*G11</f>
        <v/>
      </c>
      <c r="I11" s="11">
        <f>D11*F11*G11</f>
        <v/>
      </c>
      <c r="J11" s="18" t="inlineStr">
        <is>
          <t>Plataforma fija</t>
        </is>
      </c>
      <c r="K11" s="21" t="n">
        <v>0</v>
      </c>
      <c r="L11" s="18" t="inlineStr">
        <is>
          <t>API verificada</t>
        </is>
      </c>
      <c r="M11" s="18" t="inlineStr">
        <is>
          <t>API verificada</t>
        </is>
      </c>
      <c r="N11" s="18" t="inlineStr">
        <is>
          <t>az_acr_basic</t>
        </is>
      </c>
      <c r="O11" s="19" t="inlineStr"/>
      <c r="P11" s="19" t="inlineStr"/>
    </row>
    <row r="12">
      <c r="A12" s="18" t="inlineStr">
        <is>
          <t>Azure Machine Learning (compute cluster)</t>
        </is>
      </c>
      <c r="B12" s="19" t="inlineStr">
        <is>
          <t>D4s v3 Linux</t>
        </is>
      </c>
      <c r="C12" s="20" t="n">
        <v>0.192</v>
      </c>
      <c r="D12" s="20" t="n">
        <v>0.214</v>
      </c>
      <c r="E12" s="18" t="inlineStr">
        <is>
          <t>hora</t>
        </is>
      </c>
      <c r="F12" s="8">
        <f>horas_entrenamiento</f>
        <v/>
      </c>
      <c r="G12" s="21" t="n">
        <v>1</v>
      </c>
      <c r="H12" s="11">
        <f>C12*F12*G12</f>
        <v/>
      </c>
      <c r="I12" s="11">
        <f>D12*F12*G12</f>
        <v/>
      </c>
      <c r="J12" s="18" t="inlineStr">
        <is>
          <t>Plataforma fija</t>
        </is>
      </c>
      <c r="K12" s="21" t="n">
        <v>0</v>
      </c>
      <c r="L12" s="18" t="inlineStr">
        <is>
          <t>API verificada</t>
        </is>
      </c>
      <c r="M12" s="18" t="inlineStr">
        <is>
          <t>API verificada</t>
        </is>
      </c>
      <c r="N12" s="18" t="inlineStr">
        <is>
          <t>az_vm_d4sv3</t>
        </is>
      </c>
      <c r="O12" s="19" t="inlineStr"/>
      <c r="P12" s="19" t="inlineStr">
        <is>
          <t>Workspace sin cargo; cluster escala a 0</t>
        </is>
      </c>
    </row>
    <row r="13">
      <c r="A13" s="5" t="inlineStr">
        <is>
          <t>Plano de nube — datos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18" t="inlineStr">
        <is>
          <t>PostgreSQL Flexible</t>
        </is>
      </c>
      <c r="B14" s="19" t="inlineStr">
        <is>
          <t>General Purpose D2ds_v5 (2 vCore)</t>
        </is>
      </c>
      <c r="C14" s="20" t="n">
        <v>0.178</v>
      </c>
      <c r="D14" s="20" t="n">
        <v>0.212</v>
      </c>
      <c r="E14" s="18" t="inlineStr">
        <is>
          <t>hora</t>
        </is>
      </c>
      <c r="F14" s="8">
        <f>730*replicas_bd</f>
        <v/>
      </c>
      <c r="G14" s="21" t="n">
        <v>1</v>
      </c>
      <c r="H14" s="11">
        <f>C14*F14*G14</f>
        <v/>
      </c>
      <c r="I14" s="11">
        <f>D14*F14*G14</f>
        <v/>
      </c>
      <c r="J14" s="18" t="inlineStr">
        <is>
          <t>Plataforma fija</t>
        </is>
      </c>
      <c r="K14" s="21" t="n">
        <v>0</v>
      </c>
      <c r="L14" s="18" t="inlineStr">
        <is>
          <t>API verificada</t>
        </is>
      </c>
      <c r="M14" s="18" t="inlineStr">
        <is>
          <t>API verificada</t>
        </is>
      </c>
      <c r="N14" s="18" t="inlineStr">
        <is>
          <t>az_pg_d2ds</t>
        </is>
      </c>
      <c r="O14" s="19" t="inlineStr"/>
      <c r="P14" s="19" t="inlineStr">
        <is>
          <t>Réplica HA de zona duplica cómputo</t>
        </is>
      </c>
    </row>
    <row r="15">
      <c r="A15" s="18" t="inlineStr">
        <is>
          <t>PostgreSQL Flexible</t>
        </is>
      </c>
      <c r="B15" s="19" t="inlineStr">
        <is>
          <t>Almacenamiento SSD</t>
        </is>
      </c>
      <c r="C15" s="20" t="n">
        <v>0.115</v>
      </c>
      <c r="D15" s="20" t="n">
        <v>0.1369</v>
      </c>
      <c r="E15" s="18" t="inlineStr">
        <is>
          <t>GB-mes</t>
        </is>
      </c>
      <c r="F15" s="8">
        <f>64*replicas_bd</f>
        <v/>
      </c>
      <c r="G15" s="21" t="n">
        <v>1</v>
      </c>
      <c r="H15" s="11">
        <f>C15*F15*G15</f>
        <v/>
      </c>
      <c r="I15" s="11">
        <f>D15*F15*G15</f>
        <v/>
      </c>
      <c r="J15" s="18" t="inlineStr">
        <is>
          <t>Plataforma fija</t>
        </is>
      </c>
      <c r="K15" s="21" t="n">
        <v>0</v>
      </c>
      <c r="L15" s="18" t="inlineStr">
        <is>
          <t>API verificada</t>
        </is>
      </c>
      <c r="M15" s="18" t="inlineStr">
        <is>
          <t>API verificada</t>
        </is>
      </c>
      <c r="N15" s="18" t="inlineStr">
        <is>
          <t>az_pg_storage</t>
        </is>
      </c>
      <c r="O15" s="19" t="inlineStr"/>
      <c r="P15" s="19" t="inlineStr">
        <is>
          <t>64 GB por réplica</t>
        </is>
      </c>
    </row>
    <row r="16">
      <c r="A16" s="18" t="inlineStr">
        <is>
          <t>Azure AI Search</t>
        </is>
      </c>
      <c r="B16" s="19" t="inlineStr">
        <is>
          <t>Basic (1 réplica, sin SLA de consulta)</t>
        </is>
      </c>
      <c r="C16" s="20" t="n">
        <v>0.101</v>
      </c>
      <c r="D16" s="20" t="n">
        <v>0.101</v>
      </c>
      <c r="E16" s="18" t="inlineStr">
        <is>
          <t>hora</t>
        </is>
      </c>
      <c r="F16" s="8">
        <f>730</f>
        <v/>
      </c>
      <c r="G16" s="21" t="n">
        <v>1</v>
      </c>
      <c r="H16" s="11">
        <f>C16*F16*G16</f>
        <v/>
      </c>
      <c r="I16" s="11">
        <f>D16*F16*G16</f>
        <v/>
      </c>
      <c r="J16" s="18" t="inlineStr">
        <is>
          <t>Plataforma fija</t>
        </is>
      </c>
      <c r="K16" s="21" t="n">
        <v>0</v>
      </c>
      <c r="L16" s="18" t="inlineStr">
        <is>
          <t>API verificada</t>
        </is>
      </c>
      <c r="M16" s="18" t="inlineStr">
        <is>
          <t>API verificada</t>
        </is>
      </c>
      <c r="N16" s="18" t="inlineStr">
        <is>
          <t>az_search_basic</t>
        </is>
      </c>
      <c r="O16" s="19" t="inlineStr"/>
      <c r="P16" s="19" t="inlineStr">
        <is>
          <t>Alternativa más barata: pgvector en la PostgreSQL</t>
        </is>
      </c>
    </row>
    <row r="17">
      <c r="A17" s="18" t="inlineStr">
        <is>
          <t>Azure OpenAI</t>
        </is>
      </c>
      <c r="B17" s="19" t="inlineStr">
        <is>
          <t>text-embedding-3-small (global)</t>
        </is>
      </c>
      <c r="C17" s="20" t="n">
        <v>2e-05</v>
      </c>
      <c r="D17" s="20" t="n">
        <v>2e-05</v>
      </c>
      <c r="E17" s="18" t="inlineStr">
        <is>
          <t>1K tokens</t>
        </is>
      </c>
      <c r="F17" s="8">
        <f>tok_embed_mes/1000</f>
        <v/>
      </c>
      <c r="G17" s="21" t="n">
        <v>1</v>
      </c>
      <c r="H17" s="11">
        <f>C17*F17*G17</f>
        <v/>
      </c>
      <c r="I17" s="11">
        <f>D17*F17*G17</f>
        <v/>
      </c>
      <c r="J17" s="18" t="inlineStr">
        <is>
          <t>Plataforma fija</t>
        </is>
      </c>
      <c r="K17" s="21" t="n">
        <v>0</v>
      </c>
      <c r="L17" s="18" t="inlineStr">
        <is>
          <t>API verificada</t>
        </is>
      </c>
      <c r="M17" s="18" t="inlineStr">
        <is>
          <t>API verificada</t>
        </is>
      </c>
      <c r="N17" s="18" t="inlineStr">
        <is>
          <t>az_aoai_emb</t>
        </is>
      </c>
      <c r="O17" s="19" t="inlineStr">
        <is>
          <t>https://azure.microsoft.com/pricing/details/azure-openai/</t>
        </is>
      </c>
      <c r="P17" s="19" t="inlineStr"/>
    </row>
    <row r="18">
      <c r="A18" s="18" t="inlineStr">
        <is>
          <t>Storage — cuenta de imágenes (LRS)</t>
        </is>
      </c>
      <c r="B18" s="19" t="inlineStr">
        <is>
          <t>Hot LRS</t>
        </is>
      </c>
      <c r="C18" s="20" t="n">
        <v>0.0184</v>
      </c>
      <c r="D18" s="20" t="n">
        <v>0.0184</v>
      </c>
      <c r="E18" s="18" t="inlineStr">
        <is>
          <t>GB-mes</t>
        </is>
      </c>
      <c r="F18" s="8">
        <f>gb_imagenes_mes_est*estaciones*dias_hot/30</f>
        <v/>
      </c>
      <c r="G18" s="21" t="n">
        <v>1</v>
      </c>
      <c r="H18" s="11">
        <f>C18*F18*G18</f>
        <v/>
      </c>
      <c r="I18" s="11">
        <f>D18*F18*G18</f>
        <v/>
      </c>
      <c r="J18" s="18" t="inlineStr">
        <is>
          <t>Por estación</t>
        </is>
      </c>
      <c r="K18" s="21" t="n">
        <v>1</v>
      </c>
      <c r="L18" s="18" t="inlineStr">
        <is>
          <t>API verificada</t>
        </is>
      </c>
      <c r="M18" s="18" t="inlineStr">
        <is>
          <t>API verificada</t>
        </is>
      </c>
      <c r="N18" s="18" t="inlineStr">
        <is>
          <t>az_blob_hot_lrs</t>
        </is>
      </c>
      <c r="O18" s="19" t="inlineStr"/>
      <c r="P18" s="19" t="inlineStr">
        <is>
          <t>Hot 30 días</t>
        </is>
      </c>
    </row>
    <row r="19">
      <c r="A19" s="18" t="inlineStr">
        <is>
          <t>Storage — cuenta de imágenes (LRS)</t>
        </is>
      </c>
      <c r="B19" s="19" t="inlineStr">
        <is>
          <t>Cool LRS</t>
        </is>
      </c>
      <c r="C19" s="20" t="n">
        <v>0.01</v>
      </c>
      <c r="D19" s="20" t="n">
        <v>0.01</v>
      </c>
      <c r="E19" s="18" t="inlineStr">
        <is>
          <t>GB-mes</t>
        </is>
      </c>
      <c r="F19" s="8">
        <f>gb_imagenes_mes_est*estaciones*dias_cool/30</f>
        <v/>
      </c>
      <c r="G19" s="21" t="n">
        <v>1</v>
      </c>
      <c r="H19" s="11">
        <f>C19*F19*G19</f>
        <v/>
      </c>
      <c r="I19" s="11">
        <f>D19*F19*G19</f>
        <v/>
      </c>
      <c r="J19" s="18" t="inlineStr">
        <is>
          <t>Por estación</t>
        </is>
      </c>
      <c r="K19" s="21" t="n">
        <v>1</v>
      </c>
      <c r="L19" s="18" t="inlineStr">
        <is>
          <t>API verificada</t>
        </is>
      </c>
      <c r="M19" s="18" t="inlineStr">
        <is>
          <t>API verificada</t>
        </is>
      </c>
      <c r="N19" s="18" t="inlineStr">
        <is>
          <t>az_blob_cool_lrs</t>
        </is>
      </c>
      <c r="O19" s="19" t="inlineStr"/>
      <c r="P19" s="19" t="inlineStr">
        <is>
          <t>Cool hasta el día 180</t>
        </is>
      </c>
    </row>
    <row r="20">
      <c r="A20" s="18" t="inlineStr">
        <is>
          <t>Storage — cuenta de imágenes (LRS)</t>
        </is>
      </c>
      <c r="B20" s="19" t="inlineStr">
        <is>
          <t>Archive LRS</t>
        </is>
      </c>
      <c r="C20" s="20" t="n">
        <v>0.002</v>
      </c>
      <c r="D20" s="20" t="n">
        <v>0.0018</v>
      </c>
      <c r="E20" s="18" t="inlineStr">
        <is>
          <t>GB-mes</t>
        </is>
      </c>
      <c r="F20" s="8">
        <f>gb_imagenes_mes_est*estaciones*dias_archivo/30</f>
        <v/>
      </c>
      <c r="G20" s="21" t="n">
        <v>1</v>
      </c>
      <c r="H20" s="11">
        <f>C20*F20*G20</f>
        <v/>
      </c>
      <c r="I20" s="11">
        <f>D20*F20*G20</f>
        <v/>
      </c>
      <c r="J20" s="18" t="inlineStr">
        <is>
          <t>Por estación</t>
        </is>
      </c>
      <c r="K20" s="21" t="n">
        <v>1</v>
      </c>
      <c r="L20" s="18" t="inlineStr">
        <is>
          <t>API verificada</t>
        </is>
      </c>
      <c r="M20" s="18" t="inlineStr">
        <is>
          <t>API verificada</t>
        </is>
      </c>
      <c r="N20" s="18" t="inlineStr">
        <is>
          <t>az_blob_archive_lrs</t>
        </is>
      </c>
      <c r="O20" s="19" t="inlineStr"/>
      <c r="P20" s="19" t="inlineStr">
        <is>
          <t>Archive hasta 3 años (Archive no admite ZRS)</t>
        </is>
      </c>
    </row>
    <row r="21">
      <c r="A21" s="18" t="inlineStr">
        <is>
          <t>Storage — cuenta de imágenes (LRS)</t>
        </is>
      </c>
      <c r="B21" s="19" t="inlineStr">
        <is>
          <t>Transacciones y recuperaciones (aprox.)</t>
        </is>
      </c>
      <c r="C21" s="20" t="n">
        <v>5</v>
      </c>
      <c r="D21" s="20">
        <f>C21*uplift_ue</f>
        <v/>
      </c>
      <c r="E21" s="18" t="inlineStr">
        <is>
          <t>mes</t>
        </is>
      </c>
      <c r="F21" s="8">
        <f>estaciones</f>
        <v/>
      </c>
      <c r="G21" s="21" t="n">
        <v>1</v>
      </c>
      <c r="H21" s="11">
        <f>C21*F21*G21</f>
        <v/>
      </c>
      <c r="I21" s="11">
        <f>D21*F21*G21</f>
        <v/>
      </c>
      <c r="J21" s="18" t="inlineStr">
        <is>
          <t>Por estación</t>
        </is>
      </c>
      <c r="K21" s="21" t="n">
        <v>0</v>
      </c>
      <c r="L21" s="18" t="inlineStr">
        <is>
          <t>Estimado</t>
        </is>
      </c>
      <c r="M21" s="18" t="inlineStr">
        <is>
          <t>Estimado (US × factor UE)</t>
        </is>
      </c>
      <c r="N21" s="18" t="inlineStr"/>
      <c r="O21" s="19" t="inlineStr">
        <is>
          <t>https://azure.microsoft.com/pricing/details/storage/blobs/</t>
        </is>
      </c>
      <c r="P21" s="19" t="inlineStr">
        <is>
          <t>Escrituras desde el borde + lecturas de revisión</t>
        </is>
      </c>
    </row>
    <row r="22">
      <c r="A22" s="18" t="inlineStr">
        <is>
          <t>Storage — cuenta de auditoría (ZRS, inmutable)</t>
        </is>
      </c>
      <c r="B22" s="19" t="inlineStr">
        <is>
          <t>Hot ZRS</t>
        </is>
      </c>
      <c r="C22" s="20" t="n">
        <v>0.023</v>
      </c>
      <c r="D22" s="20" t="n">
        <v>0.023</v>
      </c>
      <c r="E22" s="18" t="inlineStr">
        <is>
          <t>GB-mes</t>
        </is>
      </c>
      <c r="F22" s="8">
        <f>gb_auditoria</f>
        <v/>
      </c>
      <c r="G22" s="21" t="n">
        <v>1</v>
      </c>
      <c r="H22" s="11">
        <f>C22*F22*G22</f>
        <v/>
      </c>
      <c r="I22" s="11">
        <f>D22*F22*G22</f>
        <v/>
      </c>
      <c r="J22" s="18" t="inlineStr">
        <is>
          <t>Plataforma fija</t>
        </is>
      </c>
      <c r="K22" s="21" t="n">
        <v>0</v>
      </c>
      <c r="L22" s="18" t="inlineStr">
        <is>
          <t>API verificada</t>
        </is>
      </c>
      <c r="M22" s="18" t="inlineStr">
        <is>
          <t>API verificada</t>
        </is>
      </c>
      <c r="N22" s="18" t="inlineStr">
        <is>
          <t>az_blob_hot_zrs</t>
        </is>
      </c>
      <c r="O22" s="19" t="inlineStr"/>
      <c r="P22" s="19" t="inlineStr">
        <is>
          <t>Cuenta separada: la redundancia es por cuenta</t>
        </is>
      </c>
    </row>
    <row r="23">
      <c r="A23" s="5" t="inlineStr">
        <is>
          <t>Borde y dispositivos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18" t="inlineStr">
        <is>
          <t>IoT Hub</t>
        </is>
      </c>
      <c r="B24" s="19" t="inlineStr">
        <is>
          <t>S1 (400.000 msgs/día por unidad, 4 KB)</t>
        </is>
      </c>
      <c r="C24" s="20" t="n">
        <v>25</v>
      </c>
      <c r="D24" s="20" t="n">
        <v>25</v>
      </c>
      <c r="E24" s="18" t="inlineStr">
        <is>
          <t>unidad-mes</t>
        </is>
      </c>
      <c r="F24" s="8">
        <f>MAX(1,ROUNDUP(msgs_dia_estacion*estaciones/400000,0))</f>
        <v/>
      </c>
      <c r="G24" s="21" t="n">
        <v>1</v>
      </c>
      <c r="H24" s="11">
        <f>C24*F24*G24</f>
        <v/>
      </c>
      <c r="I24" s="11">
        <f>D24*F24*G24</f>
        <v/>
      </c>
      <c r="J24" s="18" t="inlineStr">
        <is>
          <t>Plataforma fija</t>
        </is>
      </c>
      <c r="K24" s="21" t="n">
        <v>0</v>
      </c>
      <c r="L24" s="18" t="inlineStr">
        <is>
          <t>API verificada</t>
        </is>
      </c>
      <c r="M24" s="18" t="inlineStr">
        <is>
          <t>API verificada</t>
        </is>
      </c>
      <c r="N24" s="18" t="inlineStr">
        <is>
          <t>az_iothub_s1</t>
        </is>
      </c>
      <c r="O24" s="19" t="inlineStr"/>
      <c r="P24" s="19" t="inlineStr">
        <is>
          <t>Solo telemetría y avisos ≤ 4 KB; las imágenes van directo a Blob</t>
        </is>
      </c>
    </row>
    <row r="25">
      <c r="A25" s="18" t="inlineStr">
        <is>
          <t>IoT Edge runtime</t>
        </is>
      </c>
      <c r="B25" s="19" t="inlineStr">
        <is>
          <t>Open source</t>
        </is>
      </c>
      <c r="C25" s="20" t="n">
        <v>0</v>
      </c>
      <c r="D25" s="20" t="n">
        <v>0</v>
      </c>
      <c r="E25" s="18" t="inlineStr">
        <is>
          <t>dispositivo-mes</t>
        </is>
      </c>
      <c r="F25" s="8">
        <f>estaciones</f>
        <v/>
      </c>
      <c r="G25" s="21" t="n">
        <v>1</v>
      </c>
      <c r="H25" s="11">
        <f>C25*F25*G25</f>
        <v/>
      </c>
      <c r="I25" s="11">
        <f>D25*F25*G25</f>
        <v/>
      </c>
      <c r="J25" s="18" t="inlineStr">
        <is>
          <t>Por estación</t>
        </is>
      </c>
      <c r="K25" s="21" t="n">
        <v>0</v>
      </c>
      <c r="L25" s="18" t="inlineStr">
        <is>
          <t>Estimado</t>
        </is>
      </c>
      <c r="M25" s="18" t="inlineStr">
        <is>
          <t>Estimado</t>
        </is>
      </c>
      <c r="N25" s="18" t="inlineStr"/>
      <c r="O25" s="19" t="inlineStr">
        <is>
          <t>https://azure.microsoft.com/products/iot-edge/</t>
        </is>
      </c>
      <c r="P25" s="19" t="inlineStr">
        <is>
          <t>Sin licencia</t>
        </is>
      </c>
    </row>
    <row r="26">
      <c r="A26" s="18" t="inlineStr">
        <is>
          <t>AKS Edge Essentials (alternativa)</t>
        </is>
      </c>
      <c r="B26" s="19" t="inlineStr">
        <is>
          <t>Licencia por dispositivo (API sin región, 2026-10-24)</t>
        </is>
      </c>
      <c r="C26" s="20" t="n">
        <v>2.5</v>
      </c>
      <c r="D26" s="20">
        <f>C26*uplift_ue</f>
        <v/>
      </c>
      <c r="E26" s="18" t="inlineStr">
        <is>
          <t>dispositivo-mes</t>
        </is>
      </c>
      <c r="F26" s="8">
        <f>estaciones</f>
        <v/>
      </c>
      <c r="G26" s="21" t="n">
        <v>0</v>
      </c>
      <c r="H26" s="11">
        <f>C26*F26*G26</f>
        <v/>
      </c>
      <c r="I26" s="11">
        <f>D26*F26*G26</f>
        <v/>
      </c>
      <c r="J26" s="18" t="inlineStr">
        <is>
          <t>Por estación</t>
        </is>
      </c>
      <c r="K26" s="21" t="n">
        <v>0</v>
      </c>
      <c r="L26" s="18" t="inlineStr">
        <is>
          <t>Estimado</t>
        </is>
      </c>
      <c r="M26" s="18" t="inlineStr">
        <is>
          <t>Estimado (US × factor UE)</t>
        </is>
      </c>
      <c r="N26" s="18" t="inlineStr"/>
      <c r="O26" s="19" t="inlineStr"/>
      <c r="P26" s="19" t="inlineStr">
        <is>
          <t>Solo si se elige Kubernetes en el borde</t>
        </is>
      </c>
    </row>
    <row r="27">
      <c r="A27" s="18" t="inlineStr">
        <is>
          <t>Defender for Servers P2 (vía Arc)</t>
        </is>
      </c>
      <c r="B27" s="19" t="inlineStr">
        <is>
          <t>Por PC industrial</t>
        </is>
      </c>
      <c r="C27" s="20" t="n">
        <v>0.02</v>
      </c>
      <c r="D27" s="20" t="n">
        <v>0.02</v>
      </c>
      <c r="E27" s="18" t="inlineStr">
        <is>
          <t>nodo-hora</t>
        </is>
      </c>
      <c r="F27" s="8">
        <f>730*estaciones</f>
        <v/>
      </c>
      <c r="G27" s="21" t="n">
        <v>1</v>
      </c>
      <c r="H27" s="11">
        <f>C27*F27*G27</f>
        <v/>
      </c>
      <c r="I27" s="11">
        <f>D27*F27*G27</f>
        <v/>
      </c>
      <c r="J27" s="18" t="inlineStr">
        <is>
          <t>Por estación</t>
        </is>
      </c>
      <c r="K27" s="21" t="n">
        <v>0</v>
      </c>
      <c r="L27" s="18" t="inlineStr">
        <is>
          <t>API verificada</t>
        </is>
      </c>
      <c r="M27" s="18" t="inlineStr">
        <is>
          <t>API verificada</t>
        </is>
      </c>
      <c r="N27" s="18" t="inlineStr">
        <is>
          <t>az_def_servers_p2</t>
        </is>
      </c>
      <c r="O27" s="19" t="inlineStr"/>
      <c r="P27" s="19" t="inlineStr"/>
    </row>
    <row r="28">
      <c r="A28" s="5" t="inlineStr">
        <is>
          <t>Seguridad, red y observabilidad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18" t="inlineStr">
        <is>
          <t>Key Vault</t>
        </is>
      </c>
      <c r="B29" s="19" t="inlineStr">
        <is>
          <t>Standard · operaciones</t>
        </is>
      </c>
      <c r="C29" s="20" t="n">
        <v>0.03</v>
      </c>
      <c r="D29" s="20" t="n">
        <v>0.03</v>
      </c>
      <c r="E29" s="18" t="inlineStr">
        <is>
          <t>10K ops</t>
        </is>
      </c>
      <c r="F29" s="8">
        <f>20</f>
        <v/>
      </c>
      <c r="G29" s="21" t="n">
        <v>1</v>
      </c>
      <c r="H29" s="11">
        <f>C29*F29*G29</f>
        <v/>
      </c>
      <c r="I29" s="11">
        <f>D29*F29*G29</f>
        <v/>
      </c>
      <c r="J29" s="18" t="inlineStr">
        <is>
          <t>Plataforma fija</t>
        </is>
      </c>
      <c r="K29" s="21" t="n">
        <v>0</v>
      </c>
      <c r="L29" s="18" t="inlineStr">
        <is>
          <t>API verificada</t>
        </is>
      </c>
      <c r="M29" s="18" t="inlineStr">
        <is>
          <t>API verificada</t>
        </is>
      </c>
      <c r="N29" s="18" t="inlineStr">
        <is>
          <t>az_kv_ops</t>
        </is>
      </c>
      <c r="O29" s="19" t="inlineStr"/>
      <c r="P29" s="19" t="inlineStr">
        <is>
          <t>~200K operaciones/mes</t>
        </is>
      </c>
    </row>
    <row r="30">
      <c r="A30" s="18" t="inlineStr">
        <is>
          <t>Private Endpoints de PaaS</t>
        </is>
      </c>
      <c r="B30" s="19" t="inlineStr">
        <is>
          <t>Storage ×2, PostgreSQL, Key Vault, OpenAI, Search</t>
        </is>
      </c>
      <c r="C30" s="20" t="n">
        <v>0.01</v>
      </c>
      <c r="D30" s="20" t="n">
        <v>0.01</v>
      </c>
      <c r="E30" s="18" t="inlineStr">
        <is>
          <t>hora</t>
        </is>
      </c>
      <c r="F30" s="8">
        <f>6*730</f>
        <v/>
      </c>
      <c r="G30" s="21" t="n">
        <v>1</v>
      </c>
      <c r="H30" s="11">
        <f>C30*F30*G30</f>
        <v/>
      </c>
      <c r="I30" s="11">
        <f>D30*F30*G30</f>
        <v/>
      </c>
      <c r="J30" s="18" t="inlineStr">
        <is>
          <t>Plataforma fija</t>
        </is>
      </c>
      <c r="K30" s="21" t="n">
        <v>0</v>
      </c>
      <c r="L30" s="18" t="inlineStr">
        <is>
          <t>Estimado</t>
        </is>
      </c>
      <c r="M30" s="18" t="inlineStr">
        <is>
          <t>Estimado</t>
        </is>
      </c>
      <c r="N30" s="18" t="inlineStr"/>
      <c r="O30" s="19" t="inlineStr">
        <is>
          <t>https://azure.microsoft.com/pricing/details/private-link/</t>
        </is>
      </c>
      <c r="P30" s="19" t="inlineStr">
        <is>
          <t>6 endpoints (precio de lista no localizado en la API → estimado)</t>
        </is>
      </c>
    </row>
    <row r="31">
      <c r="A31" s="18" t="inlineStr">
        <is>
          <t>Log Analytics + Application Insights</t>
        </is>
      </c>
      <c r="B31" s="19" t="inlineStr">
        <is>
          <t>Analytics Logs · ingesta</t>
        </is>
      </c>
      <c r="C31" s="20" t="n">
        <v>2.76</v>
      </c>
      <c r="D31" s="20" t="n">
        <v>2.99</v>
      </c>
      <c r="E31" s="18" t="inlineStr">
        <is>
          <t>GB</t>
        </is>
      </c>
      <c r="F31" s="8">
        <f>MAX(0,gb_logs_mes-5)</f>
        <v/>
      </c>
      <c r="G31" s="21" t="n">
        <v>1</v>
      </c>
      <c r="H31" s="11">
        <f>C31*F31*G31</f>
        <v/>
      </c>
      <c r="I31" s="11">
        <f>D31*F31*G31</f>
        <v/>
      </c>
      <c r="J31" s="18" t="inlineStr">
        <is>
          <t>Plataforma fija</t>
        </is>
      </c>
      <c r="K31" s="21" t="n">
        <v>0</v>
      </c>
      <c r="L31" s="18" t="inlineStr">
        <is>
          <t>API verificada</t>
        </is>
      </c>
      <c r="M31" s="18" t="inlineStr">
        <is>
          <t>API verificada</t>
        </is>
      </c>
      <c r="N31" s="18" t="inlineStr">
        <is>
          <t>az_la_ingest</t>
        </is>
      </c>
      <c r="O31" s="19" t="inlineStr"/>
      <c r="P31" s="19" t="inlineStr">
        <is>
          <t>Primeros 5 GB/mes gratis</t>
        </is>
      </c>
    </row>
    <row r="32">
      <c r="A32" s="18" t="inlineStr">
        <is>
          <t>Defender for Containers</t>
        </is>
      </c>
      <c r="B32" s="19" t="inlineStr">
        <is>
          <t>Escaneo de imágenes</t>
        </is>
      </c>
      <c r="C32" s="20" t="n">
        <v>0.29</v>
      </c>
      <c r="D32" s="20" t="n">
        <v>0.29</v>
      </c>
      <c r="E32" s="18" t="inlineStr">
        <is>
          <t>imagen</t>
        </is>
      </c>
      <c r="F32" s="8">
        <f>10</f>
        <v/>
      </c>
      <c r="G32" s="21" t="n">
        <v>1</v>
      </c>
      <c r="H32" s="11">
        <f>C32*F32*G32</f>
        <v/>
      </c>
      <c r="I32" s="11">
        <f>D32*F32*G32</f>
        <v/>
      </c>
      <c r="J32" s="18" t="inlineStr">
        <is>
          <t>Plataforma fija</t>
        </is>
      </c>
      <c r="K32" s="21" t="n">
        <v>0</v>
      </c>
      <c r="L32" s="18" t="inlineStr">
        <is>
          <t>API verificada</t>
        </is>
      </c>
      <c r="M32" s="18" t="inlineStr">
        <is>
          <t>API verificada</t>
        </is>
      </c>
      <c r="N32" s="18" t="inlineStr">
        <is>
          <t>az_def_cont_img</t>
        </is>
      </c>
      <c r="O32" s="19" t="inlineStr"/>
      <c r="P32" s="19" t="inlineStr"/>
    </row>
    <row r="33">
      <c r="A33" s="18" t="inlineStr">
        <is>
          <t>Defender for Storage</t>
        </is>
      </c>
      <c r="B33" s="19" t="inlineStr">
        <is>
          <t>Por cuenta (aprox.)</t>
        </is>
      </c>
      <c r="C33" s="20" t="n">
        <v>10</v>
      </c>
      <c r="D33" s="20">
        <f>C33*uplift_ue</f>
        <v/>
      </c>
      <c r="E33" s="18" t="inlineStr">
        <is>
          <t>cuenta-mes</t>
        </is>
      </c>
      <c r="F33" s="8">
        <f>2</f>
        <v/>
      </c>
      <c r="G33" s="21" t="n">
        <v>1</v>
      </c>
      <c r="H33" s="11">
        <f>C33*F33*G33</f>
        <v/>
      </c>
      <c r="I33" s="11">
        <f>D33*F33*G33</f>
        <v/>
      </c>
      <c r="J33" s="18" t="inlineStr">
        <is>
          <t>Plataforma fija</t>
        </is>
      </c>
      <c r="K33" s="21" t="n">
        <v>0</v>
      </c>
      <c r="L33" s="18" t="inlineStr">
        <is>
          <t>Estimado</t>
        </is>
      </c>
      <c r="M33" s="18" t="inlineStr">
        <is>
          <t>Estimado (US × factor UE)</t>
        </is>
      </c>
      <c r="N33" s="18" t="inlineStr"/>
      <c r="O33" s="19" t="inlineStr">
        <is>
          <t>https://azure.microsoft.com/pricing/details/defender-for-cloud/</t>
        </is>
      </c>
      <c r="P33" s="19" t="inlineStr">
        <is>
          <t>2 cuentas (imágenes, auditoría)</t>
        </is>
      </c>
    </row>
    <row r="34">
      <c r="A34" s="18" t="inlineStr">
        <is>
          <t>Front Door Standard + WAF (opcional)</t>
        </is>
      </c>
      <c r="B34" s="19" t="inlineStr">
        <is>
          <t>Tarifa base</t>
        </is>
      </c>
      <c r="C34" s="20" t="n">
        <v>35</v>
      </c>
      <c r="D34" s="20">
        <f>C34*uplift_ue</f>
        <v/>
      </c>
      <c r="E34" s="18" t="inlineStr">
        <is>
          <t>mes</t>
        </is>
      </c>
      <c r="F34" s="8">
        <f>1</f>
        <v/>
      </c>
      <c r="G34" s="21" t="n">
        <v>0</v>
      </c>
      <c r="H34" s="11">
        <f>C34*F34*G34</f>
        <v/>
      </c>
      <c r="I34" s="11">
        <f>D34*F34*G34</f>
        <v/>
      </c>
      <c r="J34" s="18" t="inlineStr">
        <is>
          <t>Plataforma fija</t>
        </is>
      </c>
      <c r="K34" s="21" t="n">
        <v>0</v>
      </c>
      <c r="L34" s="18" t="inlineStr">
        <is>
          <t>Estimado</t>
        </is>
      </c>
      <c r="M34" s="18" t="inlineStr">
        <is>
          <t>Estimado (US × factor UE)</t>
        </is>
      </c>
      <c r="N34" s="18" t="inlineStr"/>
      <c r="O34" s="19" t="inlineStr">
        <is>
          <t>https://azure.microsoft.com/pricing/details/frontdoor/</t>
        </is>
      </c>
      <c r="P34" s="19" t="inlineStr">
        <is>
          <t>Solo si el chat se expone fuera de la red corporativa</t>
        </is>
      </c>
    </row>
    <row r="35">
      <c r="A35" s="5" t="inlineStr">
        <is>
          <t>Asistente agéntico (LLM) — Data Zone (EE. UU. o UE según región)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18" t="inlineStr">
        <is>
          <t>Azure OpenAI</t>
        </is>
      </c>
      <c r="B36" s="19" t="inlineStr">
        <is>
          <t>gpt-4.1-mini · entrada</t>
        </is>
      </c>
      <c r="C36" s="20" t="n">
        <v>0.00044</v>
      </c>
      <c r="D36" s="20" t="n">
        <v>0.00044</v>
      </c>
      <c r="E36" s="18" t="inlineStr">
        <is>
          <t>1K tokens</t>
        </is>
      </c>
      <c r="F36" s="8">
        <f>conv_mes*(1-pct_modelo_grande)*tok_in_conv*(1-pct_cache)/1000</f>
        <v/>
      </c>
      <c r="G36" s="21" t="n">
        <v>1</v>
      </c>
      <c r="H36" s="11">
        <f>C36*F36*G36</f>
        <v/>
      </c>
      <c r="I36" s="11">
        <f>D36*F36*G36</f>
        <v/>
      </c>
      <c r="J36" s="18" t="inlineStr">
        <is>
          <t>LLM</t>
        </is>
      </c>
      <c r="K36" s="21" t="n">
        <v>0</v>
      </c>
      <c r="L36" s="18" t="inlineStr">
        <is>
          <t>API verificada</t>
        </is>
      </c>
      <c r="M36" s="18" t="inlineStr">
        <is>
          <t>API verificada</t>
        </is>
      </c>
      <c r="N36" s="18" t="inlineStr">
        <is>
          <t>az_aoai_mini_in</t>
        </is>
      </c>
      <c r="O36" s="19" t="inlineStr">
        <is>
          <t>https://azure.microsoft.com/pricing/details/azure-openai/</t>
        </is>
      </c>
      <c r="P36" s="19" t="inlineStr">
        <is>
          <t>85% de conversaciones</t>
        </is>
      </c>
    </row>
    <row r="37">
      <c r="A37" s="18" t="inlineStr">
        <is>
          <t>Azure OpenAI</t>
        </is>
      </c>
      <c r="B37" s="19" t="inlineStr">
        <is>
          <t>gpt-4.1-mini · entrada en caché</t>
        </is>
      </c>
      <c r="C37" s="20" t="n">
        <v>0.00011</v>
      </c>
      <c r="D37" s="20" t="n">
        <v>0.00011</v>
      </c>
      <c r="E37" s="18" t="inlineStr">
        <is>
          <t>1K tokens</t>
        </is>
      </c>
      <c r="F37" s="8">
        <f>conv_mes*(1-pct_modelo_grande)*tok_in_conv*pct_cache/1000</f>
        <v/>
      </c>
      <c r="G37" s="21" t="n">
        <v>1</v>
      </c>
      <c r="H37" s="11">
        <f>C37*F37*G37</f>
        <v/>
      </c>
      <c r="I37" s="11">
        <f>D37*F37*G37</f>
        <v/>
      </c>
      <c r="J37" s="18" t="inlineStr">
        <is>
          <t>LLM</t>
        </is>
      </c>
      <c r="K37" s="21" t="n">
        <v>0</v>
      </c>
      <c r="L37" s="18" t="inlineStr">
        <is>
          <t>API verificada</t>
        </is>
      </c>
      <c r="M37" s="18" t="inlineStr">
        <is>
          <t>API verificada</t>
        </is>
      </c>
      <c r="N37" s="18" t="inlineStr">
        <is>
          <t>az_aoai_mini_cache</t>
        </is>
      </c>
      <c r="O37" s="19" t="inlineStr">
        <is>
          <t>https://azure.microsoft.com/pricing/details/azure-openai/</t>
        </is>
      </c>
      <c r="P37" s="19" t="inlineStr"/>
    </row>
    <row r="38">
      <c r="A38" s="18" t="inlineStr">
        <is>
          <t>Azure OpenAI</t>
        </is>
      </c>
      <c r="B38" s="19" t="inlineStr">
        <is>
          <t>gpt-4.1-mini · salida</t>
        </is>
      </c>
      <c r="C38" s="20" t="n">
        <v>0.00176</v>
      </c>
      <c r="D38" s="20" t="n">
        <v>0.00176</v>
      </c>
      <c r="E38" s="18" t="inlineStr">
        <is>
          <t>1K tokens</t>
        </is>
      </c>
      <c r="F38" s="8">
        <f>conv_mes*(1-pct_modelo_grande)*tok_out_conv/1000</f>
        <v/>
      </c>
      <c r="G38" s="21" t="n">
        <v>1</v>
      </c>
      <c r="H38" s="11">
        <f>C38*F38*G38</f>
        <v/>
      </c>
      <c r="I38" s="11">
        <f>D38*F38*G38</f>
        <v/>
      </c>
      <c r="J38" s="18" t="inlineStr">
        <is>
          <t>LLM</t>
        </is>
      </c>
      <c r="K38" s="21" t="n">
        <v>0</v>
      </c>
      <c r="L38" s="18" t="inlineStr">
        <is>
          <t>API verificada</t>
        </is>
      </c>
      <c r="M38" s="18" t="inlineStr">
        <is>
          <t>API verificada</t>
        </is>
      </c>
      <c r="N38" s="18" t="inlineStr">
        <is>
          <t>az_aoai_mini_out</t>
        </is>
      </c>
      <c r="O38" s="19" t="inlineStr">
        <is>
          <t>https://azure.microsoft.com/pricing/details/azure-openai/</t>
        </is>
      </c>
      <c r="P38" s="19" t="inlineStr"/>
    </row>
    <row r="39">
      <c r="A39" s="18" t="inlineStr">
        <is>
          <t>Azure OpenAI</t>
        </is>
      </c>
      <c r="B39" s="19" t="inlineStr">
        <is>
          <t>gpt-4.1 · entrada</t>
        </is>
      </c>
      <c r="C39" s="20" t="n">
        <v>0.0022</v>
      </c>
      <c r="D39" s="20" t="n">
        <v>0.0022</v>
      </c>
      <c r="E39" s="18" t="inlineStr">
        <is>
          <t>1K tokens</t>
        </is>
      </c>
      <c r="F39" s="8">
        <f>conv_mes*pct_modelo_grande*tok_in_conv*(1-pct_cache)/1000</f>
        <v/>
      </c>
      <c r="G39" s="21" t="n">
        <v>1</v>
      </c>
      <c r="H39" s="11">
        <f>C39*F39*G39</f>
        <v/>
      </c>
      <c r="I39" s="11">
        <f>D39*F39*G39</f>
        <v/>
      </c>
      <c r="J39" s="18" t="inlineStr">
        <is>
          <t>LLM</t>
        </is>
      </c>
      <c r="K39" s="21" t="n">
        <v>0</v>
      </c>
      <c r="L39" s="18" t="inlineStr">
        <is>
          <t>API verificada</t>
        </is>
      </c>
      <c r="M39" s="18" t="inlineStr">
        <is>
          <t>API verificada</t>
        </is>
      </c>
      <c r="N39" s="18" t="inlineStr">
        <is>
          <t>az_aoai_big_in</t>
        </is>
      </c>
      <c r="O39" s="19" t="inlineStr">
        <is>
          <t>https://azure.microsoft.com/pricing/details/azure-openai/</t>
        </is>
      </c>
      <c r="P39" s="19" t="inlineStr">
        <is>
          <t>15% de conversaciones</t>
        </is>
      </c>
    </row>
    <row r="40">
      <c r="A40" s="18" t="inlineStr">
        <is>
          <t>Azure OpenAI</t>
        </is>
      </c>
      <c r="B40" s="19" t="inlineStr">
        <is>
          <t>gpt-4.1 · entrada en caché</t>
        </is>
      </c>
      <c r="C40" s="20" t="n">
        <v>0.00055</v>
      </c>
      <c r="D40" s="20" t="n">
        <v>0.00055</v>
      </c>
      <c r="E40" s="18" t="inlineStr">
        <is>
          <t>1K tokens</t>
        </is>
      </c>
      <c r="F40" s="8">
        <f>conv_mes*pct_modelo_grande*tok_in_conv*pct_cache/1000</f>
        <v/>
      </c>
      <c r="G40" s="21" t="n">
        <v>1</v>
      </c>
      <c r="H40" s="11">
        <f>C40*F40*G40</f>
        <v/>
      </c>
      <c r="I40" s="11">
        <f>D40*F40*G40</f>
        <v/>
      </c>
      <c r="J40" s="18" t="inlineStr">
        <is>
          <t>LLM</t>
        </is>
      </c>
      <c r="K40" s="21" t="n">
        <v>0</v>
      </c>
      <c r="L40" s="18" t="inlineStr">
        <is>
          <t>API verificada</t>
        </is>
      </c>
      <c r="M40" s="18" t="inlineStr">
        <is>
          <t>API verificada</t>
        </is>
      </c>
      <c r="N40" s="18" t="inlineStr">
        <is>
          <t>az_aoai_big_cache</t>
        </is>
      </c>
      <c r="O40" s="19" t="inlineStr">
        <is>
          <t>https://azure.microsoft.com/pricing/details/azure-openai/</t>
        </is>
      </c>
      <c r="P40" s="19" t="inlineStr"/>
    </row>
    <row r="41">
      <c r="A41" s="18" t="inlineStr">
        <is>
          <t>Azure OpenAI</t>
        </is>
      </c>
      <c r="B41" s="19" t="inlineStr">
        <is>
          <t>gpt-4.1 · salida</t>
        </is>
      </c>
      <c r="C41" s="20" t="n">
        <v>0.008800000000000001</v>
      </c>
      <c r="D41" s="20" t="n">
        <v>0.008800000000000001</v>
      </c>
      <c r="E41" s="18" t="inlineStr">
        <is>
          <t>1K tokens</t>
        </is>
      </c>
      <c r="F41" s="8">
        <f>conv_mes*pct_modelo_grande*tok_out_conv/1000</f>
        <v/>
      </c>
      <c r="G41" s="21" t="n">
        <v>1</v>
      </c>
      <c r="H41" s="11">
        <f>C41*F41*G41</f>
        <v/>
      </c>
      <c r="I41" s="11">
        <f>D41*F41*G41</f>
        <v/>
      </c>
      <c r="J41" s="18" t="inlineStr">
        <is>
          <t>LLM</t>
        </is>
      </c>
      <c r="K41" s="21" t="n">
        <v>0</v>
      </c>
      <c r="L41" s="18" t="inlineStr">
        <is>
          <t>API verificada</t>
        </is>
      </c>
      <c r="M41" s="18" t="inlineStr">
        <is>
          <t>API verificada</t>
        </is>
      </c>
      <c r="N41" s="18" t="inlineStr">
        <is>
          <t>az_aoai_big_out</t>
        </is>
      </c>
      <c r="O41" s="19" t="inlineStr">
        <is>
          <t>https://azure.microsoft.com/pricing/details/azure-openai/</t>
        </is>
      </c>
      <c r="P41" s="19" t="inlineStr"/>
    </row>
    <row r="43">
      <c r="F43" s="22" t="inlineStr">
        <is>
          <t>Resumen</t>
        </is>
      </c>
      <c r="H43" s="22" t="inlineStr">
        <is>
          <t>EE. UU.</t>
        </is>
      </c>
      <c r="I43" s="22" t="inlineStr">
        <is>
          <t>UE-España</t>
        </is>
      </c>
    </row>
    <row r="44">
      <c r="F44" s="22" t="inlineStr">
        <is>
          <t>Subtotal Plataforma fija</t>
        </is>
      </c>
      <c r="H44" s="23">
        <f>SUMIF($J$5:$J$41,"Plataforma fija",H$5:H$41)</f>
        <v/>
      </c>
      <c r="I44" s="23">
        <f>SUMIF($J$5:$J$41,"Plataforma fija",I$5:I$41)</f>
        <v/>
      </c>
    </row>
    <row r="45">
      <c r="F45" s="22" t="inlineStr">
        <is>
          <t>Subtotal Por estación</t>
        </is>
      </c>
      <c r="H45" s="23">
        <f>SUMIF($J$5:$J$41,"Por estación",H$5:H$41)</f>
        <v/>
      </c>
      <c r="I45" s="23">
        <f>SUMIF($J$5:$J$41,"Por estación",I$5:I$41)</f>
        <v/>
      </c>
    </row>
    <row r="46">
      <c r="F46" s="22" t="inlineStr">
        <is>
          <t>Subtotal LLM</t>
        </is>
      </c>
      <c r="H46" s="23">
        <f>SUMIF($J$5:$J$41,"LLM",H$5:H$41)</f>
        <v/>
      </c>
      <c r="I46" s="23">
        <f>SUMIF($J$5:$J$41,"LLM",I$5:I$41)</f>
        <v/>
      </c>
    </row>
    <row r="47">
      <c r="F47" s="22" t="inlineStr">
        <is>
          <t>TOTAL MENSUAL</t>
        </is>
      </c>
      <c r="H47" s="24">
        <f>SUM(H44:H46)</f>
        <v/>
      </c>
      <c r="I47" s="24">
        <f>SUM(I44:I46)</f>
        <v/>
      </c>
    </row>
    <row r="49">
      <c r="F49" t="inlineStr">
        <is>
          <t>Almacenamiento de imágenes (escala con % subido)</t>
        </is>
      </c>
      <c r="H49" s="25">
        <f>SUMPRODUCT(H$5:H$41,$K$5:$K$41)</f>
        <v/>
      </c>
      <c r="I49" s="25">
        <f>SUMPRODUCT(I$5:I$41,$K$5:$K$41)</f>
        <v/>
      </c>
    </row>
    <row r="50">
      <c r="F50" t="inlineStr">
        <is>
          <t>Costo por estación (marginal)</t>
        </is>
      </c>
      <c r="H50" s="25">
        <f>azure_estacion_total_mes/estaciones</f>
        <v/>
      </c>
      <c r="I50" s="25">
        <f>azure_estacion_total_mes_ue/estaciones</f>
        <v/>
      </c>
    </row>
    <row r="51">
      <c r="F51" t="inlineStr">
        <is>
          <t>Costo LLM por conversación</t>
        </is>
      </c>
      <c r="H51" s="26">
        <f>azure_llm_mes/conv_mes</f>
        <v/>
      </c>
      <c r="I51" s="26">
        <f>azure_llm_mes_ue/conv_mes</f>
        <v/>
      </c>
    </row>
    <row r="52">
      <c r="F52" t="inlineStr">
        <is>
          <t>Costo nube por objeto procesado</t>
        </is>
      </c>
      <c r="H52" s="27">
        <f>azure_total_mes/(throughput_obj_h*horas_mes*estaciones)</f>
        <v/>
      </c>
      <c r="I52" s="27">
        <f>azure_total_mes_ue/(throughput_obj_h*horas_mes*estaciones)</f>
        <v/>
      </c>
    </row>
  </sheetData>
  <mergeCells count="1">
    <mergeCell ref="A2:P2"/>
  </mergeCells>
  <conditionalFormatting sqref="L5:M41">
    <cfRule type="expression" priority="1" dxfId="0">
      <formula>LEFT(L5,8)="Estimado"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4" customWidth="1" min="2" max="2"/>
    <col width="12" customWidth="1" min="3" max="3"/>
    <col width="12" customWidth="1" min="4" max="4"/>
    <col width="13" customWidth="1" min="5" max="5"/>
    <col width="13" customWidth="1" min="6" max="6"/>
    <col width="8" customWidth="1" min="7" max="7"/>
    <col width="13" customWidth="1" min="8" max="8"/>
    <col width="13" customWidth="1" min="9" max="9"/>
    <col width="14" customWidth="1" min="10" max="10"/>
    <col width="10" customWidth="1" min="11" max="11"/>
    <col width="14" customWidth="1" min="12" max="12"/>
    <col width="16" customWidth="1" min="13" max="13"/>
    <col width="18" customWidth="1" min="14" max="14"/>
    <col width="40" customWidth="1" min="15" max="15"/>
    <col width="50" customWidth="1" min="16" max="16"/>
  </cols>
  <sheetData>
    <row r="1">
      <c r="A1" s="1" t="inlineStr">
        <is>
          <t>AWS — costo mensual por servicio y región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60" customHeight="1">
      <c r="A2" s="3" t="inlineStr">
        <is>
          <t>Precios de la AWS Price List Bulk API consultados el 2026-10-24: us-east-1 (Colombia) y eu-south-2 Spain (España). Bedrock (Claude), NAT Gateway, GuardDuty y SSM son 'Estimado' (no localizados por usagetype). Para la UE, Bedrock se asume igual a EE. UU. ajustado por el factor UE.</t>
        </is>
      </c>
    </row>
    <row r="4">
      <c r="A4" s="4" t="inlineStr">
        <is>
          <t>Servicio</t>
        </is>
      </c>
      <c r="B4" s="4" t="inlineStr">
        <is>
          <t>SKU / medidor</t>
        </is>
      </c>
      <c r="C4" s="4" t="inlineStr">
        <is>
          <t>Precio EE. UU. (USD)</t>
        </is>
      </c>
      <c r="D4" s="4" t="inlineStr">
        <is>
          <t>Precio UE-España (USD)</t>
        </is>
      </c>
      <c r="E4" s="4" t="inlineStr">
        <is>
          <t>Unidad de precio</t>
        </is>
      </c>
      <c r="F4" s="4" t="inlineStr">
        <is>
          <t>Cantidad mensual</t>
        </is>
      </c>
      <c r="G4" s="4" t="inlineStr">
        <is>
          <t>Incluir (1/0)</t>
        </is>
      </c>
      <c r="H4" s="4" t="inlineStr">
        <is>
          <t>Costo EE. UU. (USD/mes)</t>
        </is>
      </c>
      <c r="I4" s="4" t="inlineStr">
        <is>
          <t>Costo UE (USD/mes)</t>
        </is>
      </c>
      <c r="J4" s="4" t="inlineStr">
        <is>
          <t>Tipo</t>
        </is>
      </c>
      <c r="K4" s="4" t="inlineStr">
        <is>
          <t>Escala con imágenes (1/0)</t>
        </is>
      </c>
      <c r="L4" s="4" t="inlineStr">
        <is>
          <t>Estado precio EE. UU.</t>
        </is>
      </c>
      <c r="M4" s="4" t="inlineStr">
        <is>
          <t>Estado precio UE</t>
        </is>
      </c>
      <c r="N4" s="4" t="inlineStr">
        <is>
          <t>Clave de precio (ver Fuentes)</t>
        </is>
      </c>
      <c r="O4" s="4" t="inlineStr">
        <is>
          <t>Referencia</t>
        </is>
      </c>
      <c r="P4" s="4" t="inlineStr">
        <is>
          <t>Cómo se calcula la cantidad</t>
        </is>
      </c>
    </row>
    <row r="5">
      <c r="A5" s="5" t="inlineStr">
        <is>
          <t>Plano de nube — cómputo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>
      <c r="A6" s="18" t="inlineStr">
        <is>
          <t>ECS Fargate (agente)</t>
        </is>
      </c>
      <c r="B6" s="19" t="inlineStr">
        <is>
          <t>vCPU (0,5 por tarea)</t>
        </is>
      </c>
      <c r="C6" s="20" t="n">
        <v>0.04048</v>
      </c>
      <c r="D6" s="20" t="n">
        <v>0.046552</v>
      </c>
      <c r="E6" s="18" t="inlineStr">
        <is>
          <t>vCPU-hora</t>
        </is>
      </c>
      <c r="F6" s="8">
        <f>replicas_agente*0.5*horas_mes</f>
        <v/>
      </c>
      <c r="G6" s="21" t="n">
        <v>1</v>
      </c>
      <c r="H6" s="11">
        <f>C6*F6*G6</f>
        <v/>
      </c>
      <c r="I6" s="11">
        <f>D6*F6*G6</f>
        <v/>
      </c>
      <c r="J6" s="18" t="inlineStr">
        <is>
          <t>Plataforma fija</t>
        </is>
      </c>
      <c r="K6" s="21" t="n">
        <v>0</v>
      </c>
      <c r="L6" s="18" t="inlineStr">
        <is>
          <t>API verificada</t>
        </is>
      </c>
      <c r="M6" s="18" t="inlineStr">
        <is>
          <t>API verificada</t>
        </is>
      </c>
      <c r="N6" s="18" t="inlineStr">
        <is>
          <t>aws_fargate_vcpu</t>
        </is>
      </c>
      <c r="O6" s="19" t="inlineStr"/>
      <c r="P6" s="19" t="inlineStr">
        <is>
          <t>2 tareas en 2 AZ</t>
        </is>
      </c>
    </row>
    <row r="7">
      <c r="A7" s="18" t="inlineStr">
        <is>
          <t>ECS Fargate (agente)</t>
        </is>
      </c>
      <c r="B7" s="19" t="inlineStr">
        <is>
          <t>Memoria (1 GB por tarea)</t>
        </is>
      </c>
      <c r="C7" s="20" t="n">
        <v>0.004445</v>
      </c>
      <c r="D7" s="20" t="n">
        <v>0.005112</v>
      </c>
      <c r="E7" s="18" t="inlineStr">
        <is>
          <t>GB-hora</t>
        </is>
      </c>
      <c r="F7" s="8">
        <f>replicas_agente*1*horas_mes</f>
        <v/>
      </c>
      <c r="G7" s="21" t="n">
        <v>1</v>
      </c>
      <c r="H7" s="11">
        <f>C7*F7*G7</f>
        <v/>
      </c>
      <c r="I7" s="11">
        <f>D7*F7*G7</f>
        <v/>
      </c>
      <c r="J7" s="18" t="inlineStr">
        <is>
          <t>Plataforma fija</t>
        </is>
      </c>
      <c r="K7" s="21" t="n">
        <v>0</v>
      </c>
      <c r="L7" s="18" t="inlineStr">
        <is>
          <t>API verificada</t>
        </is>
      </c>
      <c r="M7" s="18" t="inlineStr">
        <is>
          <t>API verificada</t>
        </is>
      </c>
      <c r="N7" s="18" t="inlineStr">
        <is>
          <t>aws_fargate_gb</t>
        </is>
      </c>
      <c r="O7" s="19" t="inlineStr"/>
      <c r="P7" s="19" t="inlineStr"/>
    </row>
    <row r="8">
      <c r="A8" s="18" t="inlineStr">
        <is>
          <t>ECS Fargate (visión no tiempo real)</t>
        </is>
      </c>
      <c r="B8" s="19" t="inlineStr">
        <is>
          <t>vCPU (1)</t>
        </is>
      </c>
      <c r="C8" s="20" t="n">
        <v>0.04048</v>
      </c>
      <c r="D8" s="20" t="n">
        <v>0.046552</v>
      </c>
      <c r="E8" s="18" t="inlineStr">
        <is>
          <t>vCPU-hora</t>
        </is>
      </c>
      <c r="F8" s="8">
        <f>horas_activas_vision_cloud</f>
        <v/>
      </c>
      <c r="G8" s="21" t="n">
        <v>1</v>
      </c>
      <c r="H8" s="11">
        <f>C8*F8*G8</f>
        <v/>
      </c>
      <c r="I8" s="11">
        <f>D8*F8*G8</f>
        <v/>
      </c>
      <c r="J8" s="18" t="inlineStr">
        <is>
          <t>Plataforma fija</t>
        </is>
      </c>
      <c r="K8" s="21" t="n">
        <v>0</v>
      </c>
      <c r="L8" s="18" t="inlineStr">
        <is>
          <t>API verificada</t>
        </is>
      </c>
      <c r="M8" s="18" t="inlineStr">
        <is>
          <t>API verificada</t>
        </is>
      </c>
      <c r="N8" s="18" t="inlineStr">
        <is>
          <t>aws_fargate_vcpu</t>
        </is>
      </c>
      <c r="O8" s="19" t="inlineStr"/>
      <c r="P8" s="19" t="inlineStr">
        <is>
          <t>Tarea bajo demanda</t>
        </is>
      </c>
    </row>
    <row r="9">
      <c r="A9" s="18" t="inlineStr">
        <is>
          <t>ECS Fargate (visión no tiempo real)</t>
        </is>
      </c>
      <c r="B9" s="19" t="inlineStr">
        <is>
          <t>Memoria (2 GB)</t>
        </is>
      </c>
      <c r="C9" s="20" t="n">
        <v>0.004445</v>
      </c>
      <c r="D9" s="20" t="n">
        <v>0.005112</v>
      </c>
      <c r="E9" s="18" t="inlineStr">
        <is>
          <t>GB-hora</t>
        </is>
      </c>
      <c r="F9" s="8">
        <f>2*horas_activas_vision_cloud</f>
        <v/>
      </c>
      <c r="G9" s="21" t="n">
        <v>1</v>
      </c>
      <c r="H9" s="11">
        <f>C9*F9*G9</f>
        <v/>
      </c>
      <c r="I9" s="11">
        <f>D9*F9*G9</f>
        <v/>
      </c>
      <c r="J9" s="18" t="inlineStr">
        <is>
          <t>Plataforma fija</t>
        </is>
      </c>
      <c r="K9" s="21" t="n">
        <v>0</v>
      </c>
      <c r="L9" s="18" t="inlineStr">
        <is>
          <t>API verificada</t>
        </is>
      </c>
      <c r="M9" s="18" t="inlineStr">
        <is>
          <t>API verificada</t>
        </is>
      </c>
      <c r="N9" s="18" t="inlineStr">
        <is>
          <t>aws_fargate_gb</t>
        </is>
      </c>
      <c r="O9" s="19" t="inlineStr"/>
      <c r="P9" s="19" t="inlineStr"/>
    </row>
    <row r="10">
      <c r="A10" s="18" t="inlineStr">
        <is>
          <t>Application Load Balancer</t>
        </is>
      </c>
      <c r="B10" s="19" t="inlineStr">
        <is>
          <t>Hora</t>
        </is>
      </c>
      <c r="C10" s="20" t="n">
        <v>0.0225</v>
      </c>
      <c r="D10" s="20" t="n">
        <v>0.0252</v>
      </c>
      <c r="E10" s="18" t="inlineStr">
        <is>
          <t>hora</t>
        </is>
      </c>
      <c r="F10" s="8">
        <f>730</f>
        <v/>
      </c>
      <c r="G10" s="21" t="n">
        <v>1</v>
      </c>
      <c r="H10" s="11">
        <f>C10*F10*G10</f>
        <v/>
      </c>
      <c r="I10" s="11">
        <f>D10*F10*G10</f>
        <v/>
      </c>
      <c r="J10" s="18" t="inlineStr">
        <is>
          <t>Plataforma fija</t>
        </is>
      </c>
      <c r="K10" s="21" t="n">
        <v>0</v>
      </c>
      <c r="L10" s="18" t="inlineStr">
        <is>
          <t>API verificada</t>
        </is>
      </c>
      <c r="M10" s="18" t="inlineStr">
        <is>
          <t>API verificada</t>
        </is>
      </c>
      <c r="N10" s="18" t="inlineStr">
        <is>
          <t>aws_alb_hr</t>
        </is>
      </c>
      <c r="O10" s="19" t="inlineStr"/>
      <c r="P10" s="19" t="inlineStr"/>
    </row>
    <row r="11">
      <c r="A11" s="18" t="inlineStr">
        <is>
          <t>Application Load Balancer</t>
        </is>
      </c>
      <c r="B11" s="19" t="inlineStr">
        <is>
          <t>LCU (~1)</t>
        </is>
      </c>
      <c r="C11" s="20" t="n">
        <v>0.008</v>
      </c>
      <c r="D11" s="20" t="n">
        <v>0.008</v>
      </c>
      <c r="E11" s="18" t="inlineStr">
        <is>
          <t>LCU-hora</t>
        </is>
      </c>
      <c r="F11" s="8">
        <f>730</f>
        <v/>
      </c>
      <c r="G11" s="21" t="n">
        <v>1</v>
      </c>
      <c r="H11" s="11">
        <f>C11*F11*G11</f>
        <v/>
      </c>
      <c r="I11" s="11">
        <f>D11*F11*G11</f>
        <v/>
      </c>
      <c r="J11" s="18" t="inlineStr">
        <is>
          <t>Plataforma fija</t>
        </is>
      </c>
      <c r="K11" s="21" t="n">
        <v>0</v>
      </c>
      <c r="L11" s="18" t="inlineStr">
        <is>
          <t>API verificada</t>
        </is>
      </c>
      <c r="M11" s="18" t="inlineStr">
        <is>
          <t>API verificada</t>
        </is>
      </c>
      <c r="N11" s="18" t="inlineStr">
        <is>
          <t>aws_alb_lcu</t>
        </is>
      </c>
      <c r="O11" s="19" t="inlineStr"/>
      <c r="P11" s="19" t="inlineStr"/>
    </row>
    <row r="12">
      <c r="A12" s="18" t="inlineStr">
        <is>
          <t>NAT Gateway</t>
        </is>
      </c>
      <c r="B12" s="19" t="inlineStr">
        <is>
          <t>Hora (1 AZ)</t>
        </is>
      </c>
      <c r="C12" s="20" t="n">
        <v>0.045</v>
      </c>
      <c r="D12" s="20">
        <f>C12*uplift_ue</f>
        <v/>
      </c>
      <c r="E12" s="18" t="inlineStr">
        <is>
          <t>hora</t>
        </is>
      </c>
      <c r="F12" s="8">
        <f>730</f>
        <v/>
      </c>
      <c r="G12" s="21" t="n">
        <v>1</v>
      </c>
      <c r="H12" s="11">
        <f>C12*F12*G12</f>
        <v/>
      </c>
      <c r="I12" s="11">
        <f>D12*F12*G12</f>
        <v/>
      </c>
      <c r="J12" s="18" t="inlineStr">
        <is>
          <t>Plataforma fija</t>
        </is>
      </c>
      <c r="K12" s="21" t="n">
        <v>0</v>
      </c>
      <c r="L12" s="18" t="inlineStr">
        <is>
          <t>Estimado</t>
        </is>
      </c>
      <c r="M12" s="18" t="inlineStr">
        <is>
          <t>Estimado (US × factor UE)</t>
        </is>
      </c>
      <c r="N12" s="18" t="inlineStr"/>
      <c r="O12" s="19" t="inlineStr">
        <is>
          <t>https://aws.amazon.com/vpc/pricing/</t>
        </is>
      </c>
      <c r="P12" s="19" t="inlineStr">
        <is>
          <t>Precio en la oferta EC2 (no consultada) → estimado</t>
        </is>
      </c>
    </row>
    <row r="13">
      <c r="A13" s="18" t="inlineStr">
        <is>
          <t>Amazon ECR</t>
        </is>
      </c>
      <c r="B13" s="19" t="inlineStr">
        <is>
          <t>Almacenamiento</t>
        </is>
      </c>
      <c r="C13" s="20" t="n">
        <v>0.1</v>
      </c>
      <c r="D13" s="20" t="n">
        <v>0.1</v>
      </c>
      <c r="E13" s="18" t="inlineStr">
        <is>
          <t>GB-mes</t>
        </is>
      </c>
      <c r="F13" s="8">
        <f>3</f>
        <v/>
      </c>
      <c r="G13" s="21" t="n">
        <v>1</v>
      </c>
      <c r="H13" s="11">
        <f>C13*F13*G13</f>
        <v/>
      </c>
      <c r="I13" s="11">
        <f>D13*F13*G13</f>
        <v/>
      </c>
      <c r="J13" s="18" t="inlineStr">
        <is>
          <t>Plataforma fija</t>
        </is>
      </c>
      <c r="K13" s="21" t="n">
        <v>0</v>
      </c>
      <c r="L13" s="18" t="inlineStr">
        <is>
          <t>API verificada</t>
        </is>
      </c>
      <c r="M13" s="18" t="inlineStr">
        <is>
          <t>API verificada</t>
        </is>
      </c>
      <c r="N13" s="18" t="inlineStr">
        <is>
          <t>aws_ecr</t>
        </is>
      </c>
      <c r="O13" s="19" t="inlineStr"/>
      <c r="P13" s="19" t="inlineStr"/>
    </row>
    <row r="14">
      <c r="A14" s="18" t="inlineStr">
        <is>
          <t>SageMaker AI</t>
        </is>
      </c>
      <c r="B14" s="19" t="inlineStr">
        <is>
          <t>Training ml.m5.large</t>
        </is>
      </c>
      <c r="C14" s="20" t="n">
        <v>0.115</v>
      </c>
      <c r="D14" s="20" t="n">
        <v>0.128</v>
      </c>
      <c r="E14" s="18" t="inlineStr">
        <is>
          <t>hora</t>
        </is>
      </c>
      <c r="F14" s="8">
        <f>horas_entrenamiento</f>
        <v/>
      </c>
      <c r="G14" s="21" t="n">
        <v>1</v>
      </c>
      <c r="H14" s="11">
        <f>C14*F14*G14</f>
        <v/>
      </c>
      <c r="I14" s="11">
        <f>D14*F14*G14</f>
        <v/>
      </c>
      <c r="J14" s="18" t="inlineStr">
        <is>
          <t>Plataforma fija</t>
        </is>
      </c>
      <c r="K14" s="21" t="n">
        <v>0</v>
      </c>
      <c r="L14" s="18" t="inlineStr">
        <is>
          <t>API verificada</t>
        </is>
      </c>
      <c r="M14" s="18" t="inlineStr">
        <is>
          <t>API verificada</t>
        </is>
      </c>
      <c r="N14" s="18" t="inlineStr">
        <is>
          <t>aws_sm_train</t>
        </is>
      </c>
      <c r="O14" s="19" t="inlineStr"/>
      <c r="P14" s="19" t="inlineStr">
        <is>
          <t>Model Registry y Pipelines sin cargo propio</t>
        </is>
      </c>
    </row>
    <row r="15">
      <c r="A15" s="5" t="inlineStr">
        <is>
          <t>Plano de nube — datos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18" t="inlineStr">
        <is>
          <t>Aurora PostgreSQL Serverless v2</t>
        </is>
      </c>
      <c r="B16" s="19" t="inlineStr">
        <is>
          <t>ACU-hora (promedio 1 ACU por instancia)</t>
        </is>
      </c>
      <c r="C16" s="20" t="n">
        <v>0.12</v>
      </c>
      <c r="D16" s="20" t="n">
        <v>0.14</v>
      </c>
      <c r="E16" s="18" t="inlineStr">
        <is>
          <t>ACU-hora</t>
        </is>
      </c>
      <c r="F16" s="8">
        <f>1*730*replicas_bd</f>
        <v/>
      </c>
      <c r="G16" s="21" t="n">
        <v>1</v>
      </c>
      <c r="H16" s="11">
        <f>C16*F16*G16</f>
        <v/>
      </c>
      <c r="I16" s="11">
        <f>D16*F16*G16</f>
        <v/>
      </c>
      <c r="J16" s="18" t="inlineStr">
        <is>
          <t>Plataforma fija</t>
        </is>
      </c>
      <c r="K16" s="21" t="n">
        <v>0</v>
      </c>
      <c r="L16" s="18" t="inlineStr">
        <is>
          <t>API verificada</t>
        </is>
      </c>
      <c r="M16" s="18" t="inlineStr">
        <is>
          <t>API verificada</t>
        </is>
      </c>
      <c r="N16" s="18" t="inlineStr">
        <is>
          <t>aws_aurora_acu</t>
        </is>
      </c>
      <c r="O16" s="19" t="inlineStr"/>
      <c r="P16" s="19" t="inlineStr">
        <is>
          <t>Escritor + lector en otra AZ. Estado, auditoría y pgvector de Bedrock KB</t>
        </is>
      </c>
    </row>
    <row r="17">
      <c r="A17" s="18" t="inlineStr">
        <is>
          <t>Aurora PostgreSQL</t>
        </is>
      </c>
      <c r="B17" s="19" t="inlineStr">
        <is>
          <t>Almacenamiento</t>
        </is>
      </c>
      <c r="C17" s="20" t="n">
        <v>0.1</v>
      </c>
      <c r="D17" s="20" t="n">
        <v>0.11</v>
      </c>
      <c r="E17" s="18" t="inlineStr">
        <is>
          <t>GB-mes</t>
        </is>
      </c>
      <c r="F17" s="8">
        <f>64</f>
        <v/>
      </c>
      <c r="G17" s="21" t="n">
        <v>1</v>
      </c>
      <c r="H17" s="11">
        <f>C17*F17*G17</f>
        <v/>
      </c>
      <c r="I17" s="11">
        <f>D17*F17*G17</f>
        <v/>
      </c>
      <c r="J17" s="18" t="inlineStr">
        <is>
          <t>Plataforma fija</t>
        </is>
      </c>
      <c r="K17" s="21" t="n">
        <v>0</v>
      </c>
      <c r="L17" s="18" t="inlineStr">
        <is>
          <t>API verificada</t>
        </is>
      </c>
      <c r="M17" s="18" t="inlineStr">
        <is>
          <t>API verificada</t>
        </is>
      </c>
      <c r="N17" s="18" t="inlineStr">
        <is>
          <t>aws_aurora_storage</t>
        </is>
      </c>
      <c r="O17" s="19" t="inlineStr"/>
      <c r="P17" s="19" t="inlineStr">
        <is>
          <t>Compartido entre instancias</t>
        </is>
      </c>
    </row>
    <row r="18">
      <c r="A18" s="18" t="inlineStr">
        <is>
          <t>Bedrock Knowledge Bases</t>
        </is>
      </c>
      <c r="B18" s="19" t="inlineStr">
        <is>
          <t>Embeddings Titan Text v2</t>
        </is>
      </c>
      <c r="C18" s="20" t="n">
        <v>2e-05</v>
      </c>
      <c r="D18" s="20">
        <f>C18*uplift_ue</f>
        <v/>
      </c>
      <c r="E18" s="18" t="inlineStr">
        <is>
          <t>1K tokens</t>
        </is>
      </c>
      <c r="F18" s="8">
        <f>tok_embed_mes/1000</f>
        <v/>
      </c>
      <c r="G18" s="21" t="n">
        <v>1</v>
      </c>
      <c r="H18" s="11">
        <f>C18*F18*G18</f>
        <v/>
      </c>
      <c r="I18" s="11">
        <f>D18*F18*G18</f>
        <v/>
      </c>
      <c r="J18" s="18" t="inlineStr">
        <is>
          <t>Plataforma fija</t>
        </is>
      </c>
      <c r="K18" s="21" t="n">
        <v>0</v>
      </c>
      <c r="L18" s="18" t="inlineStr">
        <is>
          <t>Estimado</t>
        </is>
      </c>
      <c r="M18" s="18" t="inlineStr">
        <is>
          <t>Estimado (US × factor UE)</t>
        </is>
      </c>
      <c r="N18" s="18" t="inlineStr"/>
      <c r="O18" s="19" t="inlineStr">
        <is>
          <t>https://aws.amazon.com/bedrock/pricing/</t>
        </is>
      </c>
      <c r="P18" s="19" t="inlineStr"/>
    </row>
    <row r="19">
      <c r="A19" s="18" t="inlineStr">
        <is>
          <t>OpenSearch Serverless (alternativa)</t>
        </is>
      </c>
      <c r="B19" s="19" t="inlineStr">
        <is>
          <t>OCU-hora (mín. 2 × 0,5 OCU)</t>
        </is>
      </c>
      <c r="C19" s="20" t="n">
        <v>0.24</v>
      </c>
      <c r="D19" s="20">
        <f>C19*uplift_ue</f>
        <v/>
      </c>
      <c r="E19" s="18" t="inlineStr">
        <is>
          <t>OCU-hora</t>
        </is>
      </c>
      <c r="F19" s="8">
        <f>730</f>
        <v/>
      </c>
      <c r="G19" s="21" t="n">
        <v>0</v>
      </c>
      <c r="H19" s="11">
        <f>C19*F19*G19</f>
        <v/>
      </c>
      <c r="I19" s="11">
        <f>D19*F19*G19</f>
        <v/>
      </c>
      <c r="J19" s="18" t="inlineStr">
        <is>
          <t>Plataforma fija</t>
        </is>
      </c>
      <c r="K19" s="21" t="n">
        <v>0</v>
      </c>
      <c r="L19" s="18" t="inlineStr">
        <is>
          <t>Estimado</t>
        </is>
      </c>
      <c r="M19" s="18" t="inlineStr">
        <is>
          <t>Estimado (US × factor UE)</t>
        </is>
      </c>
      <c r="N19" s="18" t="inlineStr"/>
      <c r="O19" s="19" t="inlineStr">
        <is>
          <t>https://aws.amazon.com/opensearch-service/pricing/</t>
        </is>
      </c>
      <c r="P19" s="19" t="inlineStr">
        <is>
          <t>No incluido: mínimo desproporcionado para pocos SOP</t>
        </is>
      </c>
    </row>
    <row r="20">
      <c r="A20" s="18" t="inlineStr">
        <is>
          <t>S3 — bucket de imágenes</t>
        </is>
      </c>
      <c r="B20" s="19" t="inlineStr">
        <is>
          <t>Standard</t>
        </is>
      </c>
      <c r="C20" s="20" t="n">
        <v>0.023</v>
      </c>
      <c r="D20" s="20" t="n">
        <v>0.023</v>
      </c>
      <c r="E20" s="18" t="inlineStr">
        <is>
          <t>GB-mes</t>
        </is>
      </c>
      <c r="F20" s="8">
        <f>gb_imagenes_mes_est*estaciones*dias_hot/30</f>
        <v/>
      </c>
      <c r="G20" s="21" t="n">
        <v>1</v>
      </c>
      <c r="H20" s="11">
        <f>C20*F20*G20</f>
        <v/>
      </c>
      <c r="I20" s="11">
        <f>D20*F20*G20</f>
        <v/>
      </c>
      <c r="J20" s="18" t="inlineStr">
        <is>
          <t>Por estación</t>
        </is>
      </c>
      <c r="K20" s="21" t="n">
        <v>1</v>
      </c>
      <c r="L20" s="18" t="inlineStr">
        <is>
          <t>API verificada</t>
        </is>
      </c>
      <c r="M20" s="18" t="inlineStr">
        <is>
          <t>API verificada</t>
        </is>
      </c>
      <c r="N20" s="18" t="inlineStr">
        <is>
          <t>aws_s3_std</t>
        </is>
      </c>
      <c r="O20" s="19" t="inlineStr"/>
      <c r="P20" s="19" t="inlineStr">
        <is>
          <t>Lifecycle: Standard→IA día 30</t>
        </is>
      </c>
    </row>
    <row r="21">
      <c r="A21" s="18" t="inlineStr">
        <is>
          <t>S3 — bucket de imágenes</t>
        </is>
      </c>
      <c r="B21" s="19" t="inlineStr">
        <is>
          <t>Standard-IA</t>
        </is>
      </c>
      <c r="C21" s="20" t="n">
        <v>0.0125</v>
      </c>
      <c r="D21" s="20" t="n">
        <v>0.0125</v>
      </c>
      <c r="E21" s="18" t="inlineStr">
        <is>
          <t>GB-mes</t>
        </is>
      </c>
      <c r="F21" s="8">
        <f>gb_imagenes_mes_est*estaciones*dias_cool/30</f>
        <v/>
      </c>
      <c r="G21" s="21" t="n">
        <v>1</v>
      </c>
      <c r="H21" s="11">
        <f>C21*F21*G21</f>
        <v/>
      </c>
      <c r="I21" s="11">
        <f>D21*F21*G21</f>
        <v/>
      </c>
      <c r="J21" s="18" t="inlineStr">
        <is>
          <t>Por estación</t>
        </is>
      </c>
      <c r="K21" s="21" t="n">
        <v>1</v>
      </c>
      <c r="L21" s="18" t="inlineStr">
        <is>
          <t>API verificada</t>
        </is>
      </c>
      <c r="M21" s="18" t="inlineStr">
        <is>
          <t>API verificada</t>
        </is>
      </c>
      <c r="N21" s="18" t="inlineStr">
        <is>
          <t>aws_s3_ia</t>
        </is>
      </c>
      <c r="O21" s="19" t="inlineStr"/>
      <c r="P21" s="19" t="inlineStr">
        <is>
          <t>IA→Deep Archive día 180</t>
        </is>
      </c>
    </row>
    <row r="22">
      <c r="A22" s="18" t="inlineStr">
        <is>
          <t>S3 — bucket de imágenes</t>
        </is>
      </c>
      <c r="B22" s="19" t="inlineStr">
        <is>
          <t>Glacier Deep Archive</t>
        </is>
      </c>
      <c r="C22" s="20" t="n">
        <v>0.00099</v>
      </c>
      <c r="D22" s="20" t="n">
        <v>0.0018</v>
      </c>
      <c r="E22" s="18" t="inlineStr">
        <is>
          <t>GB-mes</t>
        </is>
      </c>
      <c r="F22" s="8">
        <f>gb_imagenes_mes_est*estaciones*dias_archivo/30</f>
        <v/>
      </c>
      <c r="G22" s="21" t="n">
        <v>1</v>
      </c>
      <c r="H22" s="11">
        <f>C22*F22*G22</f>
        <v/>
      </c>
      <c r="I22" s="11">
        <f>D22*F22*G22</f>
        <v/>
      </c>
      <c r="J22" s="18" t="inlineStr">
        <is>
          <t>Por estación</t>
        </is>
      </c>
      <c r="K22" s="21" t="n">
        <v>1</v>
      </c>
      <c r="L22" s="18" t="inlineStr">
        <is>
          <t>API verificada</t>
        </is>
      </c>
      <c r="M22" s="18" t="inlineStr">
        <is>
          <t>API verificada</t>
        </is>
      </c>
      <c r="N22" s="18" t="inlineStr">
        <is>
          <t>aws_s3_gda</t>
        </is>
      </c>
      <c r="O22" s="19" t="inlineStr"/>
      <c r="P22" s="19" t="inlineStr">
        <is>
          <t>Expira a 3 años</t>
        </is>
      </c>
    </row>
    <row r="23">
      <c r="A23" s="18" t="inlineStr">
        <is>
          <t>S3 — bucket de imágenes</t>
        </is>
      </c>
      <c r="B23" s="19" t="inlineStr">
        <is>
          <t>Solicitudes y recuperaciones (aprox.)</t>
        </is>
      </c>
      <c r="C23" s="20" t="n">
        <v>5</v>
      </c>
      <c r="D23" s="20">
        <f>C23*uplift_ue</f>
        <v/>
      </c>
      <c r="E23" s="18" t="inlineStr">
        <is>
          <t>mes</t>
        </is>
      </c>
      <c r="F23" s="8">
        <f>estaciones</f>
        <v/>
      </c>
      <c r="G23" s="21" t="n">
        <v>1</v>
      </c>
      <c r="H23" s="11">
        <f>C23*F23*G23</f>
        <v/>
      </c>
      <c r="I23" s="11">
        <f>D23*F23*G23</f>
        <v/>
      </c>
      <c r="J23" s="18" t="inlineStr">
        <is>
          <t>Por estación</t>
        </is>
      </c>
      <c r="K23" s="21" t="n">
        <v>0</v>
      </c>
      <c r="L23" s="18" t="inlineStr">
        <is>
          <t>Estimado</t>
        </is>
      </c>
      <c r="M23" s="18" t="inlineStr">
        <is>
          <t>Estimado (US × factor UE)</t>
        </is>
      </c>
      <c r="N23" s="18" t="inlineStr"/>
      <c r="O23" s="19" t="inlineStr">
        <is>
          <t>https://aws.amazon.com/s3/pricing/</t>
        </is>
      </c>
      <c r="P23" s="19" t="inlineStr"/>
    </row>
    <row r="24">
      <c r="A24" s="18" t="inlineStr">
        <is>
          <t>S3 — bucket de auditoría (Object Lock)</t>
        </is>
      </c>
      <c r="B24" s="19" t="inlineStr">
        <is>
          <t>Standard</t>
        </is>
      </c>
      <c r="C24" s="20" t="n">
        <v>0.023</v>
      </c>
      <c r="D24" s="20" t="n">
        <v>0.023</v>
      </c>
      <c r="E24" s="18" t="inlineStr">
        <is>
          <t>GB-mes</t>
        </is>
      </c>
      <c r="F24" s="8">
        <f>gb_auditoria</f>
        <v/>
      </c>
      <c r="G24" s="21" t="n">
        <v>1</v>
      </c>
      <c r="H24" s="11">
        <f>C24*F24*G24</f>
        <v/>
      </c>
      <c r="I24" s="11">
        <f>D24*F24*G24</f>
        <v/>
      </c>
      <c r="J24" s="18" t="inlineStr">
        <is>
          <t>Plataforma fija</t>
        </is>
      </c>
      <c r="K24" s="21" t="n">
        <v>0</v>
      </c>
      <c r="L24" s="18" t="inlineStr">
        <is>
          <t>API verificada</t>
        </is>
      </c>
      <c r="M24" s="18" t="inlineStr">
        <is>
          <t>API verificada</t>
        </is>
      </c>
      <c r="N24" s="18" t="inlineStr">
        <is>
          <t>aws_s3_std</t>
        </is>
      </c>
      <c r="O24" s="19" t="inlineStr"/>
      <c r="P24" s="19" t="inlineStr">
        <is>
          <t>S3 Standard ya replica en ≥3 AZ</t>
        </is>
      </c>
    </row>
    <row r="25">
      <c r="A25" s="5" t="inlineStr">
        <is>
          <t>Borde y dispositivos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>
      <c r="A26" s="18" t="inlineStr">
        <is>
          <t>IoT Core</t>
        </is>
      </c>
      <c r="B26" s="19" t="inlineStr">
        <is>
          <t>Mensajería</t>
        </is>
      </c>
      <c r="C26" s="20" t="n">
        <v>1e-06</v>
      </c>
      <c r="D26" s="20" t="n">
        <v>1e-06</v>
      </c>
      <c r="E26" s="18" t="inlineStr">
        <is>
          <t>mensaje</t>
        </is>
      </c>
      <c r="F26" s="8">
        <f>msgs_dia_estacion*estaciones*dias_mes</f>
        <v/>
      </c>
      <c r="G26" s="21" t="n">
        <v>1</v>
      </c>
      <c r="H26" s="11">
        <f>C26*F26*G26</f>
        <v/>
      </c>
      <c r="I26" s="11">
        <f>D26*F26*G26</f>
        <v/>
      </c>
      <c r="J26" s="18" t="inlineStr">
        <is>
          <t>Por estación</t>
        </is>
      </c>
      <c r="K26" s="21" t="n">
        <v>0</v>
      </c>
      <c r="L26" s="18" t="inlineStr">
        <is>
          <t>API verificada</t>
        </is>
      </c>
      <c r="M26" s="18" t="inlineStr">
        <is>
          <t>API verificada</t>
        </is>
      </c>
      <c r="N26" s="18" t="inlineStr">
        <is>
          <t>aws_iot_msg</t>
        </is>
      </c>
      <c r="O26" s="19" t="inlineStr"/>
      <c r="P26" s="19" t="inlineStr">
        <is>
          <t>Telemetría + avisos; las imágenes van a S3 por Stream Manager</t>
        </is>
      </c>
    </row>
    <row r="27">
      <c r="A27" s="18" t="inlineStr">
        <is>
          <t>IoT Core</t>
        </is>
      </c>
      <c r="B27" s="19" t="inlineStr">
        <is>
          <t>Conectividad</t>
        </is>
      </c>
      <c r="C27" s="20" t="n">
        <v>8e-08</v>
      </c>
      <c r="D27" s="20" t="n">
        <v>8e-08</v>
      </c>
      <c r="E27" s="18" t="inlineStr">
        <is>
          <t>minuto</t>
        </is>
      </c>
      <c r="F27" s="8">
        <f>43800*estaciones</f>
        <v/>
      </c>
      <c r="G27" s="21" t="n">
        <v>1</v>
      </c>
      <c r="H27" s="11">
        <f>C27*F27*G27</f>
        <v/>
      </c>
      <c r="I27" s="11">
        <f>D27*F27*G27</f>
        <v/>
      </c>
      <c r="J27" s="18" t="inlineStr">
        <is>
          <t>Por estación</t>
        </is>
      </c>
      <c r="K27" s="21" t="n">
        <v>0</v>
      </c>
      <c r="L27" s="18" t="inlineStr">
        <is>
          <t>API verificada</t>
        </is>
      </c>
      <c r="M27" s="18" t="inlineStr">
        <is>
          <t>API verificada</t>
        </is>
      </c>
      <c r="N27" s="18" t="inlineStr">
        <is>
          <t>aws_iot_conn</t>
        </is>
      </c>
      <c r="O27" s="19" t="inlineStr"/>
      <c r="P27" s="19" t="inlineStr"/>
    </row>
    <row r="28">
      <c r="A28" s="18" t="inlineStr">
        <is>
          <t>IoT Greengrass V2</t>
        </is>
      </c>
      <c r="B28" s="19" t="inlineStr">
        <is>
          <t>Dispositivo core activo</t>
        </is>
      </c>
      <c r="C28" s="20" t="n">
        <v>0.16</v>
      </c>
      <c r="D28" s="20" t="n">
        <v>0.18</v>
      </c>
      <c r="E28" s="18" t="inlineStr">
        <is>
          <t>dispositivo-mes</t>
        </is>
      </c>
      <c r="F28" s="8">
        <f>estaciones</f>
        <v/>
      </c>
      <c r="G28" s="21" t="n">
        <v>1</v>
      </c>
      <c r="H28" s="11">
        <f>C28*F28*G28</f>
        <v/>
      </c>
      <c r="I28" s="11">
        <f>D28*F28*G28</f>
        <v/>
      </c>
      <c r="J28" s="18" t="inlineStr">
        <is>
          <t>Por estación</t>
        </is>
      </c>
      <c r="K28" s="21" t="n">
        <v>0</v>
      </c>
      <c r="L28" s="18" t="inlineStr">
        <is>
          <t>API verificada</t>
        </is>
      </c>
      <c r="M28" s="18" t="inlineStr">
        <is>
          <t>API verificada</t>
        </is>
      </c>
      <c r="N28" s="18" t="inlineStr">
        <is>
          <t>aws_greengrass</t>
        </is>
      </c>
      <c r="O28" s="19" t="inlineStr"/>
      <c r="P28" s="19" t="inlineStr"/>
    </row>
    <row r="29">
      <c r="A29" s="18" t="inlineStr">
        <is>
          <t>Systems Manager (instancia híbrida avanzada)</t>
        </is>
      </c>
      <c r="B29" s="19" t="inlineStr">
        <is>
          <t>Por PC industrial</t>
        </is>
      </c>
      <c r="C29" s="20" t="n">
        <v>0.00695</v>
      </c>
      <c r="D29" s="20">
        <f>C29*uplift_ue</f>
        <v/>
      </c>
      <c r="E29" s="18" t="inlineStr">
        <is>
          <t>hora</t>
        </is>
      </c>
      <c r="F29" s="8">
        <f>730*estaciones</f>
        <v/>
      </c>
      <c r="G29" s="21" t="n">
        <v>1</v>
      </c>
      <c r="H29" s="11">
        <f>C29*F29*G29</f>
        <v/>
      </c>
      <c r="I29" s="11">
        <f>D29*F29*G29</f>
        <v/>
      </c>
      <c r="J29" s="18" t="inlineStr">
        <is>
          <t>Por estación</t>
        </is>
      </c>
      <c r="K29" s="21" t="n">
        <v>0</v>
      </c>
      <c r="L29" s="18" t="inlineStr">
        <is>
          <t>Estimado</t>
        </is>
      </c>
      <c r="M29" s="18" t="inlineStr">
        <is>
          <t>Estimado (US × factor UE)</t>
        </is>
      </c>
      <c r="N29" s="18" t="inlineStr"/>
      <c r="O29" s="19" t="inlineStr">
        <is>
          <t>https://aws.amazon.com/systems-manager/pricing/</t>
        </is>
      </c>
      <c r="P29" s="19" t="inlineStr"/>
    </row>
    <row r="30">
      <c r="A30" s="5" t="inlineStr">
        <is>
          <t>Seguridad, red y observabilidad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18" t="inlineStr">
        <is>
          <t>Secrets Manager</t>
        </is>
      </c>
      <c r="B31" s="19" t="inlineStr">
        <is>
          <t>Secreto</t>
        </is>
      </c>
      <c r="C31" s="20" t="n">
        <v>0.4</v>
      </c>
      <c r="D31" s="20" t="n">
        <v>0.4</v>
      </c>
      <c r="E31" s="18" t="inlineStr">
        <is>
          <t>secreto-mes</t>
        </is>
      </c>
      <c r="F31" s="8">
        <f>8</f>
        <v/>
      </c>
      <c r="G31" s="21" t="n">
        <v>1</v>
      </c>
      <c r="H31" s="11">
        <f>C31*F31*G31</f>
        <v/>
      </c>
      <c r="I31" s="11">
        <f>D31*F31*G31</f>
        <v/>
      </c>
      <c r="J31" s="18" t="inlineStr">
        <is>
          <t>Plataforma fija</t>
        </is>
      </c>
      <c r="K31" s="21" t="n">
        <v>0</v>
      </c>
      <c r="L31" s="18" t="inlineStr">
        <is>
          <t>API verificada</t>
        </is>
      </c>
      <c r="M31" s="18" t="inlineStr">
        <is>
          <t>API verificada</t>
        </is>
      </c>
      <c r="N31" s="18" t="inlineStr">
        <is>
          <t>aws_secrets</t>
        </is>
      </c>
      <c r="O31" s="19" t="inlineStr"/>
      <c r="P31" s="19" t="inlineStr"/>
    </row>
    <row r="32">
      <c r="A32" s="18" t="inlineStr">
        <is>
          <t>VPC Interface Endpoints</t>
        </is>
      </c>
      <c r="B32" s="19" t="inlineStr">
        <is>
          <t>Endpoint-AZ</t>
        </is>
      </c>
      <c r="C32" s="20" t="n">
        <v>0.01</v>
      </c>
      <c r="D32" s="20" t="n">
        <v>0.011</v>
      </c>
      <c r="E32" s="18" t="inlineStr">
        <is>
          <t>hora</t>
        </is>
      </c>
      <c r="F32" s="8">
        <f>5*2*730</f>
        <v/>
      </c>
      <c r="G32" s="21" t="n">
        <v>1</v>
      </c>
      <c r="H32" s="11">
        <f>C32*F32*G32</f>
        <v/>
      </c>
      <c r="I32" s="11">
        <f>D32*F32*G32</f>
        <v/>
      </c>
      <c r="J32" s="18" t="inlineStr">
        <is>
          <t>Plataforma fija</t>
        </is>
      </c>
      <c r="K32" s="21" t="n">
        <v>0</v>
      </c>
      <c r="L32" s="18" t="inlineStr">
        <is>
          <t>API verificada</t>
        </is>
      </c>
      <c r="M32" s="18" t="inlineStr">
        <is>
          <t>API verificada</t>
        </is>
      </c>
      <c r="N32" s="18" t="inlineStr">
        <is>
          <t>aws_vpce_hr</t>
        </is>
      </c>
      <c r="O32" s="19" t="inlineStr"/>
      <c r="P32" s="19" t="inlineStr">
        <is>
          <t>5 endpoints × 2 AZ</t>
        </is>
      </c>
    </row>
    <row r="33">
      <c r="A33" s="18" t="inlineStr">
        <is>
          <t>CloudWatch Logs</t>
        </is>
      </c>
      <c r="B33" s="19" t="inlineStr">
        <is>
          <t>Ingesta (Standard)</t>
        </is>
      </c>
      <c r="C33" s="20" t="n">
        <v>0.5</v>
      </c>
      <c r="D33" s="20" t="n">
        <v>0.57</v>
      </c>
      <c r="E33" s="18" t="inlineStr">
        <is>
          <t>GB</t>
        </is>
      </c>
      <c r="F33" s="8">
        <f>gb_logs_mes</f>
        <v/>
      </c>
      <c r="G33" s="21" t="n">
        <v>1</v>
      </c>
      <c r="H33" s="11">
        <f>C33*F33*G33</f>
        <v/>
      </c>
      <c r="I33" s="11">
        <f>D33*F33*G33</f>
        <v/>
      </c>
      <c r="J33" s="18" t="inlineStr">
        <is>
          <t>Plataforma fija</t>
        </is>
      </c>
      <c r="K33" s="21" t="n">
        <v>0</v>
      </c>
      <c r="L33" s="18" t="inlineStr">
        <is>
          <t>API verificada</t>
        </is>
      </c>
      <c r="M33" s="18" t="inlineStr">
        <is>
          <t>API verificada</t>
        </is>
      </c>
      <c r="N33" s="18" t="inlineStr">
        <is>
          <t>aws_cw_logs</t>
        </is>
      </c>
      <c r="O33" s="19" t="inlineStr"/>
      <c r="P33" s="19" t="inlineStr"/>
    </row>
    <row r="34">
      <c r="A34" s="18" t="inlineStr">
        <is>
          <t>GuardDuty</t>
        </is>
      </c>
      <c r="B34" s="19" t="inlineStr">
        <is>
          <t>Cuenta pequeña</t>
        </is>
      </c>
      <c r="C34" s="20" t="n">
        <v>15</v>
      </c>
      <c r="D34" s="20">
        <f>C34*uplift_ue</f>
        <v/>
      </c>
      <c r="E34" s="18" t="inlineStr">
        <is>
          <t>mes</t>
        </is>
      </c>
      <c r="F34" s="8">
        <f>1</f>
        <v/>
      </c>
      <c r="G34" s="21" t="n">
        <v>1</v>
      </c>
      <c r="H34" s="11">
        <f>C34*F34*G34</f>
        <v/>
      </c>
      <c r="I34" s="11">
        <f>D34*F34*G34</f>
        <v/>
      </c>
      <c r="J34" s="18" t="inlineStr">
        <is>
          <t>Plataforma fija</t>
        </is>
      </c>
      <c r="K34" s="21" t="n">
        <v>0</v>
      </c>
      <c r="L34" s="18" t="inlineStr">
        <is>
          <t>Estimado</t>
        </is>
      </c>
      <c r="M34" s="18" t="inlineStr">
        <is>
          <t>Estimado (US × factor UE)</t>
        </is>
      </c>
      <c r="N34" s="18" t="inlineStr"/>
      <c r="O34" s="19" t="inlineStr">
        <is>
          <t>https://aws.amazon.com/guardduty/pricing/</t>
        </is>
      </c>
      <c r="P34" s="19" t="inlineStr">
        <is>
          <t>Depende del volumen de eventos</t>
        </is>
      </c>
    </row>
    <row r="35">
      <c r="A35" s="18" t="inlineStr">
        <is>
          <t>AWS WAF (opcional)</t>
        </is>
      </c>
      <c r="B35" s="19" t="inlineStr">
        <is>
          <t>Web ACL + reglas</t>
        </is>
      </c>
      <c r="C35" s="20" t="n">
        <v>10</v>
      </c>
      <c r="D35" s="20">
        <f>C35*uplift_ue</f>
        <v/>
      </c>
      <c r="E35" s="18" t="inlineStr">
        <is>
          <t>mes</t>
        </is>
      </c>
      <c r="F35" s="8">
        <f>1</f>
        <v/>
      </c>
      <c r="G35" s="21" t="n">
        <v>0</v>
      </c>
      <c r="H35" s="11">
        <f>C35*F35*G35</f>
        <v/>
      </c>
      <c r="I35" s="11">
        <f>D35*F35*G35</f>
        <v/>
      </c>
      <c r="J35" s="18" t="inlineStr">
        <is>
          <t>Plataforma fija</t>
        </is>
      </c>
      <c r="K35" s="21" t="n">
        <v>0</v>
      </c>
      <c r="L35" s="18" t="inlineStr">
        <is>
          <t>Estimado</t>
        </is>
      </c>
      <c r="M35" s="18" t="inlineStr">
        <is>
          <t>Estimado (US × factor UE)</t>
        </is>
      </c>
      <c r="N35" s="18" t="inlineStr"/>
      <c r="O35" s="19" t="inlineStr">
        <is>
          <t>https://aws.amazon.com/waf/pricing/</t>
        </is>
      </c>
      <c r="P35" s="19" t="inlineStr"/>
    </row>
    <row r="36">
      <c r="A36" s="5" t="inlineStr">
        <is>
          <t>Asistente agéntico (LLM)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</row>
    <row r="37">
      <c r="A37" s="18" t="inlineStr">
        <is>
          <t>Bedrock</t>
        </is>
      </c>
      <c r="B37" s="19" t="inlineStr">
        <is>
          <t>Claude Haiku 4.5 · entrada</t>
        </is>
      </c>
      <c r="C37" s="20" t="n">
        <v>0.001</v>
      </c>
      <c r="D37" s="20">
        <f>C37*uplift_ue</f>
        <v/>
      </c>
      <c r="E37" s="18" t="inlineStr">
        <is>
          <t>1K tokens</t>
        </is>
      </c>
      <c r="F37" s="8">
        <f>conv_mes*(1-pct_modelo_grande)*tok_in_conv*(1-pct_cache)/1000</f>
        <v/>
      </c>
      <c r="G37" s="21" t="n">
        <v>1</v>
      </c>
      <c r="H37" s="11">
        <f>C37*F37*G37</f>
        <v/>
      </c>
      <c r="I37" s="11">
        <f>D37*F37*G37</f>
        <v/>
      </c>
      <c r="J37" s="18" t="inlineStr">
        <is>
          <t>LLM</t>
        </is>
      </c>
      <c r="K37" s="21" t="n">
        <v>0</v>
      </c>
      <c r="L37" s="18" t="inlineStr">
        <is>
          <t>Estimado</t>
        </is>
      </c>
      <c r="M37" s="18" t="inlineStr">
        <is>
          <t>Estimado (US × factor UE)</t>
        </is>
      </c>
      <c r="N37" s="18" t="inlineStr"/>
      <c r="O37" s="19" t="inlineStr">
        <is>
          <t>https://aws.amazon.com/bedrock/pricing/</t>
        </is>
      </c>
      <c r="P37" s="19" t="inlineStr">
        <is>
          <t>85%</t>
        </is>
      </c>
    </row>
    <row r="38">
      <c r="A38" s="18" t="inlineStr">
        <is>
          <t>Bedrock</t>
        </is>
      </c>
      <c r="B38" s="19" t="inlineStr">
        <is>
          <t>Claude Haiku 4.5 · lectura de caché</t>
        </is>
      </c>
      <c r="C38" s="20" t="n">
        <v>0.0001</v>
      </c>
      <c r="D38" s="20">
        <f>C38*uplift_ue</f>
        <v/>
      </c>
      <c r="E38" s="18" t="inlineStr">
        <is>
          <t>1K tokens</t>
        </is>
      </c>
      <c r="F38" s="8">
        <f>conv_mes*(1-pct_modelo_grande)*tok_in_conv*pct_cache/1000</f>
        <v/>
      </c>
      <c r="G38" s="21" t="n">
        <v>1</v>
      </c>
      <c r="H38" s="11">
        <f>C38*F38*G38</f>
        <v/>
      </c>
      <c r="I38" s="11">
        <f>D38*F38*G38</f>
        <v/>
      </c>
      <c r="J38" s="18" t="inlineStr">
        <is>
          <t>LLM</t>
        </is>
      </c>
      <c r="K38" s="21" t="n">
        <v>0</v>
      </c>
      <c r="L38" s="18" t="inlineStr">
        <is>
          <t>Estimado</t>
        </is>
      </c>
      <c r="M38" s="18" t="inlineStr">
        <is>
          <t>Estimado (US × factor UE)</t>
        </is>
      </c>
      <c r="N38" s="18" t="inlineStr"/>
      <c r="O38" s="19" t="inlineStr">
        <is>
          <t>https://aws.amazon.com/bedrock/pricing/</t>
        </is>
      </c>
      <c r="P38" s="19" t="inlineStr">
        <is>
          <t>Escritura en caché (~1,25×) no modelada</t>
        </is>
      </c>
    </row>
    <row r="39">
      <c r="A39" s="18" t="inlineStr">
        <is>
          <t>Bedrock</t>
        </is>
      </c>
      <c r="B39" s="19" t="inlineStr">
        <is>
          <t>Claude Haiku 4.5 · salida</t>
        </is>
      </c>
      <c r="C39" s="20" t="n">
        <v>0.005</v>
      </c>
      <c r="D39" s="20">
        <f>C39*uplift_ue</f>
        <v/>
      </c>
      <c r="E39" s="18" t="inlineStr">
        <is>
          <t>1K tokens</t>
        </is>
      </c>
      <c r="F39" s="8">
        <f>conv_mes*(1-pct_modelo_grande)*tok_out_conv/1000</f>
        <v/>
      </c>
      <c r="G39" s="21" t="n">
        <v>1</v>
      </c>
      <c r="H39" s="11">
        <f>C39*F39*G39</f>
        <v/>
      </c>
      <c r="I39" s="11">
        <f>D39*F39*G39</f>
        <v/>
      </c>
      <c r="J39" s="18" t="inlineStr">
        <is>
          <t>LLM</t>
        </is>
      </c>
      <c r="K39" s="21" t="n">
        <v>0</v>
      </c>
      <c r="L39" s="18" t="inlineStr">
        <is>
          <t>Estimado</t>
        </is>
      </c>
      <c r="M39" s="18" t="inlineStr">
        <is>
          <t>Estimado (US × factor UE)</t>
        </is>
      </c>
      <c r="N39" s="18" t="inlineStr"/>
      <c r="O39" s="19" t="inlineStr">
        <is>
          <t>https://aws.amazon.com/bedrock/pricing/</t>
        </is>
      </c>
      <c r="P39" s="19" t="inlineStr"/>
    </row>
    <row r="40">
      <c r="A40" s="18" t="inlineStr">
        <is>
          <t>Bedrock</t>
        </is>
      </c>
      <c r="B40" s="19" t="inlineStr">
        <is>
          <t>Claude Sonnet 4.5 · entrada</t>
        </is>
      </c>
      <c r="C40" s="20" t="n">
        <v>0.003</v>
      </c>
      <c r="D40" s="20">
        <f>C40*uplift_ue</f>
        <v/>
      </c>
      <c r="E40" s="18" t="inlineStr">
        <is>
          <t>1K tokens</t>
        </is>
      </c>
      <c r="F40" s="8">
        <f>conv_mes*pct_modelo_grande*tok_in_conv*(1-pct_cache)/1000</f>
        <v/>
      </c>
      <c r="G40" s="21" t="n">
        <v>1</v>
      </c>
      <c r="H40" s="11">
        <f>C40*F40*G40</f>
        <v/>
      </c>
      <c r="I40" s="11">
        <f>D40*F40*G40</f>
        <v/>
      </c>
      <c r="J40" s="18" t="inlineStr">
        <is>
          <t>LLM</t>
        </is>
      </c>
      <c r="K40" s="21" t="n">
        <v>0</v>
      </c>
      <c r="L40" s="18" t="inlineStr">
        <is>
          <t>Estimado</t>
        </is>
      </c>
      <c r="M40" s="18" t="inlineStr">
        <is>
          <t>Estimado (US × factor UE)</t>
        </is>
      </c>
      <c r="N40" s="18" t="inlineStr"/>
      <c r="O40" s="19" t="inlineStr">
        <is>
          <t>https://aws.amazon.com/bedrock/pricing/</t>
        </is>
      </c>
      <c r="P40" s="19" t="inlineStr">
        <is>
          <t>15%</t>
        </is>
      </c>
    </row>
    <row r="41">
      <c r="A41" s="18" t="inlineStr">
        <is>
          <t>Bedrock</t>
        </is>
      </c>
      <c r="B41" s="19" t="inlineStr">
        <is>
          <t>Claude Sonnet 4.5 · lectura de caché</t>
        </is>
      </c>
      <c r="C41" s="20" t="n">
        <v>0.0003</v>
      </c>
      <c r="D41" s="20">
        <f>C41*uplift_ue</f>
        <v/>
      </c>
      <c r="E41" s="18" t="inlineStr">
        <is>
          <t>1K tokens</t>
        </is>
      </c>
      <c r="F41" s="8">
        <f>conv_mes*pct_modelo_grande*tok_in_conv*pct_cache/1000</f>
        <v/>
      </c>
      <c r="G41" s="21" t="n">
        <v>1</v>
      </c>
      <c r="H41" s="11">
        <f>C41*F41*G41</f>
        <v/>
      </c>
      <c r="I41" s="11">
        <f>D41*F41*G41</f>
        <v/>
      </c>
      <c r="J41" s="18" t="inlineStr">
        <is>
          <t>LLM</t>
        </is>
      </c>
      <c r="K41" s="21" t="n">
        <v>0</v>
      </c>
      <c r="L41" s="18" t="inlineStr">
        <is>
          <t>Estimado</t>
        </is>
      </c>
      <c r="M41" s="18" t="inlineStr">
        <is>
          <t>Estimado (US × factor UE)</t>
        </is>
      </c>
      <c r="N41" s="18" t="inlineStr"/>
      <c r="O41" s="19" t="inlineStr">
        <is>
          <t>https://aws.amazon.com/bedrock/pricing/</t>
        </is>
      </c>
      <c r="P41" s="19" t="inlineStr"/>
    </row>
    <row r="42">
      <c r="A42" s="18" t="inlineStr">
        <is>
          <t>Bedrock</t>
        </is>
      </c>
      <c r="B42" s="19" t="inlineStr">
        <is>
          <t>Claude Sonnet 4.5 · salida</t>
        </is>
      </c>
      <c r="C42" s="20" t="n">
        <v>0.015</v>
      </c>
      <c r="D42" s="20">
        <f>C42*uplift_ue</f>
        <v/>
      </c>
      <c r="E42" s="18" t="inlineStr">
        <is>
          <t>1K tokens</t>
        </is>
      </c>
      <c r="F42" s="8">
        <f>conv_mes*pct_modelo_grande*tok_out_conv/1000</f>
        <v/>
      </c>
      <c r="G42" s="21" t="n">
        <v>1</v>
      </c>
      <c r="H42" s="11">
        <f>C42*F42*G42</f>
        <v/>
      </c>
      <c r="I42" s="11">
        <f>D42*F42*G42</f>
        <v/>
      </c>
      <c r="J42" s="18" t="inlineStr">
        <is>
          <t>LLM</t>
        </is>
      </c>
      <c r="K42" s="21" t="n">
        <v>0</v>
      </c>
      <c r="L42" s="18" t="inlineStr">
        <is>
          <t>Estimado</t>
        </is>
      </c>
      <c r="M42" s="18" t="inlineStr">
        <is>
          <t>Estimado (US × factor UE)</t>
        </is>
      </c>
      <c r="N42" s="18" t="inlineStr"/>
      <c r="O42" s="19" t="inlineStr">
        <is>
          <t>https://aws.amazon.com/bedrock/pricing/</t>
        </is>
      </c>
      <c r="P42" s="19" t="inlineStr"/>
    </row>
    <row r="44">
      <c r="F44" s="22" t="inlineStr">
        <is>
          <t>Resumen</t>
        </is>
      </c>
      <c r="H44" s="22" t="inlineStr">
        <is>
          <t>EE. UU.</t>
        </is>
      </c>
      <c r="I44" s="22" t="inlineStr">
        <is>
          <t>UE-España</t>
        </is>
      </c>
    </row>
    <row r="45">
      <c r="F45" s="22" t="inlineStr">
        <is>
          <t>Subtotal Plataforma fija</t>
        </is>
      </c>
      <c r="H45" s="23">
        <f>SUMIF($J$5:$J$42,"Plataforma fija",H$5:H$42)</f>
        <v/>
      </c>
      <c r="I45" s="23">
        <f>SUMIF($J$5:$J$42,"Plataforma fija",I$5:I$42)</f>
        <v/>
      </c>
    </row>
    <row r="46">
      <c r="F46" s="22" t="inlineStr">
        <is>
          <t>Subtotal Por estación</t>
        </is>
      </c>
      <c r="H46" s="23">
        <f>SUMIF($J$5:$J$42,"Por estación",H$5:H$42)</f>
        <v/>
      </c>
      <c r="I46" s="23">
        <f>SUMIF($J$5:$J$42,"Por estación",I$5:I$42)</f>
        <v/>
      </c>
    </row>
    <row r="47">
      <c r="F47" s="22" t="inlineStr">
        <is>
          <t>Subtotal LLM</t>
        </is>
      </c>
      <c r="H47" s="23">
        <f>SUMIF($J$5:$J$42,"LLM",H$5:H$42)</f>
        <v/>
      </c>
      <c r="I47" s="23">
        <f>SUMIF($J$5:$J$42,"LLM",I$5:I$42)</f>
        <v/>
      </c>
    </row>
    <row r="48">
      <c r="F48" s="22" t="inlineStr">
        <is>
          <t>TOTAL MENSUAL</t>
        </is>
      </c>
      <c r="H48" s="24">
        <f>SUM(H45:H47)</f>
        <v/>
      </c>
      <c r="I48" s="24">
        <f>SUM(I45:I47)</f>
        <v/>
      </c>
    </row>
    <row r="50">
      <c r="F50" t="inlineStr">
        <is>
          <t>Almacenamiento de imágenes (escala con % subido)</t>
        </is>
      </c>
      <c r="H50" s="25">
        <f>SUMPRODUCT(H$5:H$42,$K$5:$K$42)</f>
        <v/>
      </c>
      <c r="I50" s="25">
        <f>SUMPRODUCT(I$5:I$42,$K$5:$K$42)</f>
        <v/>
      </c>
    </row>
    <row r="51">
      <c r="F51" t="inlineStr">
        <is>
          <t>Costo por estación (marginal)</t>
        </is>
      </c>
      <c r="H51" s="25">
        <f>aws_estacion_total_mes/estaciones</f>
        <v/>
      </c>
      <c r="I51" s="25">
        <f>aws_estacion_total_mes_ue/estaciones</f>
        <v/>
      </c>
    </row>
    <row r="52">
      <c r="F52" t="inlineStr">
        <is>
          <t>Costo LLM por conversación</t>
        </is>
      </c>
      <c r="H52" s="26">
        <f>aws_llm_mes/conv_mes</f>
        <v/>
      </c>
      <c r="I52" s="26">
        <f>aws_llm_mes_ue/conv_mes</f>
        <v/>
      </c>
    </row>
    <row r="53">
      <c r="F53" t="inlineStr">
        <is>
          <t>Costo nube por objeto procesado</t>
        </is>
      </c>
      <c r="H53" s="27">
        <f>aws_total_mes/(throughput_obj_h*horas_mes*estaciones)</f>
        <v/>
      </c>
      <c r="I53" s="27">
        <f>aws_total_mes_ue/(throughput_obj_h*horas_mes*estaciones)</f>
        <v/>
      </c>
    </row>
  </sheetData>
  <mergeCells count="1">
    <mergeCell ref="A2:P2"/>
  </mergeCells>
  <conditionalFormatting sqref="L5:M42">
    <cfRule type="expression" priority="1" dxfId="0">
      <formula>LEFT(L5,8)="Estimado"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Comparativo: operación actual vs Azure vs AWS</t>
        </is>
      </c>
      <c r="B1" s="2" t="n"/>
      <c r="C1" s="2" t="n"/>
      <c r="D1" s="2" t="n"/>
      <c r="E1" s="2" t="n"/>
    </row>
    <row r="2" ht="60" customHeight="1">
      <c r="A2" s="3" t="inlineStr">
        <is>
          <t>USD/mes. Colombia usa precios de región EE. UU.; España usa precios de región UE-España. Costo nuevo = nube + mantenimiento de borde + humano residual. El robot existe en ambos escenarios.</t>
        </is>
      </c>
    </row>
    <row r="4">
      <c r="A4" s="4" t="inlineStr">
        <is>
          <t>Concepto</t>
        </is>
      </c>
      <c r="B4" s="4" t="inlineStr">
        <is>
          <t>Colombia · Azure</t>
        </is>
      </c>
      <c r="C4" s="4" t="inlineStr">
        <is>
          <t>Colombia · AWS</t>
        </is>
      </c>
      <c r="D4" s="4" t="inlineStr">
        <is>
          <t>España · Azure</t>
        </is>
      </c>
      <c r="E4" s="4" t="inlineStr">
        <is>
          <t>España · AWS</t>
        </is>
      </c>
    </row>
    <row r="5">
      <c r="A5" t="inlineStr">
        <is>
          <t>Costo mensual operación actual</t>
        </is>
      </c>
      <c r="B5" s="15">
        <f>actual_mes_co</f>
        <v/>
      </c>
      <c r="C5" s="15">
        <f>actual_mes_co</f>
        <v/>
      </c>
      <c r="D5" s="15">
        <f>actual_mes_es</f>
        <v/>
      </c>
      <c r="E5" s="15">
        <f>actual_mes_es</f>
        <v/>
      </c>
    </row>
    <row r="6">
      <c r="A6" t="inlineStr">
        <is>
          <t>Nube: plataforma fija</t>
        </is>
      </c>
      <c r="B6" s="15">
        <f>azure_fijo_mes*plantas</f>
        <v/>
      </c>
      <c r="C6" s="15">
        <f>aws_fijo_mes*plantas</f>
        <v/>
      </c>
      <c r="D6" s="15">
        <f>azure_fijo_mes_ue*plantas</f>
        <v/>
      </c>
      <c r="E6" s="15">
        <f>aws_fijo_mes_ue*plantas</f>
        <v/>
      </c>
    </row>
    <row r="7">
      <c r="A7" t="inlineStr">
        <is>
          <t>Nube: por estaciones</t>
        </is>
      </c>
      <c r="B7" s="15">
        <f>azure_estacion_total_mes*plantas</f>
        <v/>
      </c>
      <c r="C7" s="15">
        <f>aws_estacion_total_mes*plantas</f>
        <v/>
      </c>
      <c r="D7" s="15">
        <f>azure_estacion_total_mes_ue*plantas</f>
        <v/>
      </c>
      <c r="E7" s="15">
        <f>aws_estacion_total_mes_ue*plantas</f>
        <v/>
      </c>
    </row>
    <row r="8">
      <c r="A8" t="inlineStr">
        <is>
          <t>Nube: LLM del asistente</t>
        </is>
      </c>
      <c r="B8" s="15">
        <f>azure_llm_mes*plantas</f>
        <v/>
      </c>
      <c r="C8" s="15">
        <f>aws_llm_mes*plantas</f>
        <v/>
      </c>
      <c r="D8" s="15">
        <f>azure_llm_mes_ue*plantas</f>
        <v/>
      </c>
      <c r="E8" s="15">
        <f>aws_llm_mes_ue*plantas</f>
        <v/>
      </c>
    </row>
    <row r="9">
      <c r="A9" t="inlineStr">
        <is>
          <t>Mantenimiento hardware de borde</t>
        </is>
      </c>
      <c r="B9" s="15">
        <f>estaciones*plantas*(capex_pc+capex_camara)*pct_mant_hw/12</f>
        <v/>
      </c>
      <c r="C9" s="15">
        <f>estaciones*plantas*(capex_pc+capex_camara)*pct_mant_hw/12</f>
        <v/>
      </c>
      <c r="D9" s="15">
        <f>estaciones*plantas*(capex_pc+capex_camara)*pct_mant_hw/12</f>
        <v/>
      </c>
      <c r="E9" s="15">
        <f>estaciones*plantas*(capex_pc+capex_camara)*pct_mant_hw/12</f>
        <v/>
      </c>
    </row>
    <row r="10">
      <c r="A10" t="inlineStr">
        <is>
          <t>Humano residual: cola de revisión</t>
        </is>
      </c>
      <c r="B10" s="15">
        <f>estaciones*plantas*throughput_obj_h*horas_mes*(1-pct_automatizado)*min_caso_revision/60*costo_hora_co</f>
        <v/>
      </c>
      <c r="C10" s="15">
        <f>estaciones*plantas*throughput_obj_h*horas_mes*(1-pct_automatizado)*min_caso_revision/60*costo_hora_co</f>
        <v/>
      </c>
      <c r="D10" s="15">
        <f>estaciones*plantas*throughput_obj_h*horas_mes*(1-pct_automatizado)*min_caso_revision/60*costo_hora_es</f>
        <v/>
      </c>
      <c r="E10" s="15">
        <f>estaciones*plantas*throughput_obj_h*horas_mes*(1-pct_automatizado)*min_caso_revision/60*costo_hora_es</f>
        <v/>
      </c>
    </row>
    <row r="11">
      <c r="A11" t="inlineStr">
        <is>
          <t>Humano residual: atención itinerante</t>
        </is>
      </c>
      <c r="B11" s="15">
        <f>estaciones*plantas*fraccion_atencion*horas_mes*factor_cobertura*costo_hora_co</f>
        <v/>
      </c>
      <c r="C11" s="15">
        <f>estaciones*plantas*fraccion_atencion*horas_mes*factor_cobertura*costo_hora_co</f>
        <v/>
      </c>
      <c r="D11" s="15">
        <f>estaciones*plantas*fraccion_atencion*horas_mes*factor_cobertura*costo_hora_es</f>
        <v/>
      </c>
      <c r="E11" s="15">
        <f>estaciones*plantas*fraccion_atencion*horas_mes*factor_cobertura*costo_hora_es</f>
        <v/>
      </c>
    </row>
    <row r="12">
      <c r="A12" s="16" t="inlineStr">
        <is>
          <t>COSTO MENSUAL NUEVO</t>
        </is>
      </c>
      <c r="B12" s="17">
        <f>SUM(B6:B11)</f>
        <v/>
      </c>
      <c r="C12" s="17">
        <f>SUM(C6:C11)</f>
        <v/>
      </c>
      <c r="D12" s="17">
        <f>SUM(D6:D11)</f>
        <v/>
      </c>
      <c r="E12" s="17">
        <f>SUM(E6:E11)</f>
        <v/>
      </c>
    </row>
    <row r="13">
      <c r="A13" s="16" t="inlineStr">
        <is>
          <t>AHORRO MENSUAL</t>
        </is>
      </c>
      <c r="B13" s="17">
        <f>B5-B12</f>
        <v/>
      </c>
      <c r="C13" s="17">
        <f>C5-C12</f>
        <v/>
      </c>
      <c r="D13" s="17">
        <f>D5-D12</f>
        <v/>
      </c>
      <c r="E13" s="17">
        <f>E5-E12</f>
        <v/>
      </c>
    </row>
    <row r="14">
      <c r="A14" t="inlineStr">
        <is>
          <t>Ahorro mensual (%)</t>
        </is>
      </c>
      <c r="B14" s="12">
        <f>IF(B5&gt;0,B13/B5,0)</f>
        <v/>
      </c>
      <c r="C14" s="12">
        <f>IF(C5&gt;0,C13/C5,0)</f>
        <v/>
      </c>
      <c r="D14" s="12">
        <f>IF(D5&gt;0,D13/D5,0)</f>
        <v/>
      </c>
      <c r="E14" s="12">
        <f>IF(E5&gt;0,E13/E5,0)</f>
        <v/>
      </c>
    </row>
    <row r="15">
      <c r="A15" t="inlineStr">
        <is>
          <t>Costo anual actual</t>
        </is>
      </c>
      <c r="B15" s="15">
        <f>B5*12</f>
        <v/>
      </c>
      <c r="C15" s="15">
        <f>C5*12</f>
        <v/>
      </c>
      <c r="D15" s="15">
        <f>D5*12</f>
        <v/>
      </c>
      <c r="E15" s="15">
        <f>E5*12</f>
        <v/>
      </c>
    </row>
    <row r="16">
      <c r="A16" t="inlineStr">
        <is>
          <t>Costo anual nuevo (OPEX)</t>
        </is>
      </c>
      <c r="B16" s="15">
        <f>B12*12</f>
        <v/>
      </c>
      <c r="C16" s="15">
        <f>C12*12</f>
        <v/>
      </c>
      <c r="D16" s="15">
        <f>D12*12</f>
        <v/>
      </c>
      <c r="E16" s="15">
        <f>E12*12</f>
        <v/>
      </c>
    </row>
    <row r="17">
      <c r="A17" t="inlineStr">
        <is>
          <t>CAPEX único (borde + integración + implementación)</t>
        </is>
      </c>
      <c r="B17" s="15">
        <f>estaciones*plantas*(capex_pc+capex_camara+capex_integracion)+capex_planta*plantas</f>
        <v/>
      </c>
      <c r="C17" s="15">
        <f>estaciones*plantas*(capex_pc+capex_camara+capex_integracion)+capex_planta*plantas</f>
        <v/>
      </c>
      <c r="D17" s="15">
        <f>estaciones*plantas*(capex_pc+capex_camara+capex_integracion)+capex_planta*plantas</f>
        <v/>
      </c>
      <c r="E17" s="15">
        <f>estaciones*plantas*(capex_pc+capex_camara+capex_integracion)+capex_planta*plantas</f>
        <v/>
      </c>
    </row>
    <row r="18">
      <c r="A18" t="inlineStr">
        <is>
          <t>Payback (meses)</t>
        </is>
      </c>
      <c r="B18" s="8">
        <f>IF(B13&gt;0,B17/B13,"No recupera")</f>
        <v/>
      </c>
      <c r="C18" s="8">
        <f>IF(C13&gt;0,C17/C13,"No recupera")</f>
        <v/>
      </c>
      <c r="D18" s="8">
        <f>IF(D13&gt;0,D17/D13,"No recupera")</f>
        <v/>
      </c>
      <c r="E18" s="8">
        <f>IF(E13&gt;0,E17/E13,"No recupera")</f>
        <v/>
      </c>
    </row>
    <row r="19">
      <c r="A19" t="inlineStr">
        <is>
          <t>Ahorro neto a 3 años (36 × ahorro − CAPEX)</t>
        </is>
      </c>
      <c r="B19" s="15">
        <f>36*B13-B17</f>
        <v/>
      </c>
      <c r="C19" s="15">
        <f>36*C13-C17</f>
        <v/>
      </c>
      <c r="D19" s="15">
        <f>36*D13-D17</f>
        <v/>
      </c>
      <c r="E19" s="15">
        <f>36*E13-E17</f>
        <v/>
      </c>
    </row>
    <row r="20">
      <c r="A20" t="inlineStr">
        <is>
          <t>Costo nube por objeto procesado (USD)</t>
        </is>
      </c>
      <c r="B20" s="28">
        <f>SUM(B6:B8)/(throughput_obj_h*horas_mes*estaciones*plantas)</f>
        <v/>
      </c>
      <c r="C20" s="28">
        <f>SUM(C6:C8)/(throughput_obj_h*horas_mes*estaciones*plantas)</f>
        <v/>
      </c>
      <c r="D20" s="28">
        <f>SUM(D6:D8)/(throughput_obj_h*horas_mes*estaciones*plantas)</f>
        <v/>
      </c>
      <c r="E20" s="28">
        <f>SUM(E6:E8)/(throughput_obj_h*horas_mes*estaciones*plantas)</f>
        <v/>
      </c>
    </row>
    <row r="21">
      <c r="A21" t="inlineStr">
        <is>
          <t>Humano residual / costo actual (%)</t>
        </is>
      </c>
      <c r="B21" s="12">
        <f>(B10+B11)/B5</f>
        <v/>
      </c>
      <c r="C21" s="12">
        <f>(C10+C11)/C5</f>
        <v/>
      </c>
      <c r="D21" s="12">
        <f>(D10+D11)/D5</f>
        <v/>
      </c>
      <c r="E21" s="12">
        <f>(E10+E11)/E5</f>
        <v/>
      </c>
    </row>
    <row r="23">
      <c r="A23" s="22" t="inlineStr">
        <is>
          <t>Diferencia de nube Azure − AWS / ahorro mensual Azure</t>
        </is>
      </c>
      <c r="B23" s="29">
        <f>(SUM(B6:B8)-SUM(C6:C8))/B13</f>
        <v/>
      </c>
      <c r="D23" s="29">
        <f>(SUM(D6:D8)-SUM(E6:E8))/D13</f>
        <v/>
      </c>
    </row>
    <row r="25">
      <c r="A25" t="inlineStr">
        <is>
          <t>Lectura rápida:</t>
        </is>
      </c>
    </row>
    <row r="26">
      <c r="A26" t="inlineStr">
        <is>
          <t>• El ahorro viene de retirar 3 turnos de operador por estación; la nube es una fracción pequeña del costo laboral evitado.</t>
        </is>
      </c>
    </row>
    <row r="27">
      <c r="A27" t="inlineStr">
        <is>
          <t>• El factor que más mueve el resultado es % automatizado (cola de revisión) y el costo laboral local, no el proveedor de nube.</t>
        </is>
      </c>
    </row>
    <row r="28">
      <c r="A28" t="inlineStr">
        <is>
          <t>• Con 1 estación en Colombia el payback es largo: el CAPEX de implementación por planta pesa mucho (ver Sensibilidad).</t>
        </is>
      </c>
    </row>
    <row r="29">
      <c r="A29" t="inlineStr">
        <is>
          <t>• Ningún número de esta hoja está hardcodeado: todo sale de Supuestos, Operación actual, Azure y AWS.</t>
        </is>
      </c>
    </row>
  </sheetData>
  <mergeCells count="1"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4" customWidth="1" min="4" max="4"/>
    <col width="22" customWidth="1" min="5" max="5"/>
    <col width="20" customWidth="1" min="6" max="6"/>
    <col width="20" customWidth="1" min="7" max="7"/>
  </cols>
  <sheetData>
    <row r="1">
      <c r="A1" s="1" t="inlineStr">
        <is>
          <t>Sensibilidad</t>
        </is>
      </c>
      <c r="B1" s="2" t="n"/>
      <c r="C1" s="2" t="n"/>
      <c r="D1" s="2" t="n"/>
      <c r="E1" s="2" t="n"/>
      <c r="F1" s="2" t="n"/>
      <c r="G1" s="2" t="n"/>
    </row>
    <row r="2" ht="60" customHeight="1">
      <c r="A2" s="3" t="inlineStr">
        <is>
          <t>Celdas azules de la primera columna son editables. Todo lo demás se recalcula desde Supuestos y las hojas de nube (Azure; Colombia con precios EE. UU., España con precios UE).</t>
        </is>
      </c>
    </row>
    <row r="4">
      <c r="A4" s="22" t="inlineStr">
        <is>
          <t>1) % automatizado (estaciones de Supuestos) — Azure. El almacenamiento de imágenes también escala con el %.</t>
        </is>
      </c>
    </row>
    <row r="5">
      <c r="A5" s="4" t="inlineStr">
        <is>
          <t>% automatizado</t>
        </is>
      </c>
      <c r="B5" s="4" t="inlineStr">
        <is>
          <t>Residual cola CO</t>
        </is>
      </c>
      <c r="C5" s="4" t="inlineStr">
        <is>
          <t>Ahorro CO</t>
        </is>
      </c>
      <c r="D5" s="4" t="inlineStr">
        <is>
          <t>Payback CO (meses)</t>
        </is>
      </c>
      <c r="E5" s="4" t="inlineStr">
        <is>
          <t>Residual cola ES</t>
        </is>
      </c>
      <c r="F5" s="4" t="inlineStr">
        <is>
          <t>Ahorro ES</t>
        </is>
      </c>
      <c r="G5" s="4" t="inlineStr">
        <is>
          <t>Payback ES (meses)</t>
        </is>
      </c>
    </row>
    <row r="6">
      <c r="A6" s="30" t="n">
        <v>0.8</v>
      </c>
      <c r="B6" s="31">
        <f>estaciones*plantas*throughput_obj_h*horas_mes*(1-$A6)*min_caso_revision/60*costo_hora_co</f>
        <v/>
      </c>
      <c r="C6" s="31">
        <f>actual_mes_co-((azure_total_mes-azure_img_mes+azure_img_mes*((1-$A6)+$A6*muestreo_act)/pct_subidas)*plantas+estaciones*plantas*(capex_pc+capex_camara)*pct_mant_hw/12+B6+estaciones*plantas*fraccion_atencion*horas_mes*factor_cobertura*costo_hora_co)</f>
        <v/>
      </c>
      <c r="D6" s="32">
        <f>IF(C6&gt;0,(estaciones*plantas*(capex_pc+capex_camara+capex_integracion)+capex_planta*plantas)/C6,"No recupera")</f>
        <v/>
      </c>
      <c r="E6" s="31">
        <f>estaciones*plantas*throughput_obj_h*horas_mes*(1-$A6)*min_caso_revision/60*costo_hora_es</f>
        <v/>
      </c>
      <c r="F6" s="31">
        <f>actual_mes_es-((azure_total_mes_ue-azure_img_mes_ue+azure_img_mes_ue*((1-$A6)+$A6*muestreo_act)/pct_subidas)*plantas+estaciones*plantas*(capex_pc+capex_camara)*pct_mant_hw/12+E6+estaciones*plantas*fraccion_atencion*horas_mes*factor_cobertura*costo_hora_es)</f>
        <v/>
      </c>
      <c r="G6" s="32">
        <f>IF(F6&gt;0,(estaciones*plantas*(capex_pc+capex_camara+capex_integracion)+capex_planta*plantas)/F6,"No recupera")</f>
        <v/>
      </c>
    </row>
    <row r="7">
      <c r="A7" s="30" t="n">
        <v>0.9</v>
      </c>
      <c r="B7" s="31">
        <f>estaciones*plantas*throughput_obj_h*horas_mes*(1-$A7)*min_caso_revision/60*costo_hora_co</f>
        <v/>
      </c>
      <c r="C7" s="31">
        <f>actual_mes_co-((azure_total_mes-azure_img_mes+azure_img_mes*((1-$A7)+$A7*muestreo_act)/pct_subidas)*plantas+estaciones*plantas*(capex_pc+capex_camara)*pct_mant_hw/12+B7+estaciones*plantas*fraccion_atencion*horas_mes*factor_cobertura*costo_hora_co)</f>
        <v/>
      </c>
      <c r="D7" s="32">
        <f>IF(C7&gt;0,(estaciones*plantas*(capex_pc+capex_camara+capex_integracion)+capex_planta*plantas)/C7,"No recupera")</f>
        <v/>
      </c>
      <c r="E7" s="31">
        <f>estaciones*plantas*throughput_obj_h*horas_mes*(1-$A7)*min_caso_revision/60*costo_hora_es</f>
        <v/>
      </c>
      <c r="F7" s="31">
        <f>actual_mes_es-((azure_total_mes_ue-azure_img_mes_ue+azure_img_mes_ue*((1-$A7)+$A7*muestreo_act)/pct_subidas)*plantas+estaciones*plantas*(capex_pc+capex_camara)*pct_mant_hw/12+E7+estaciones*plantas*fraccion_atencion*horas_mes*factor_cobertura*costo_hora_es)</f>
        <v/>
      </c>
      <c r="G7" s="32">
        <f>IF(F7&gt;0,(estaciones*plantas*(capex_pc+capex_camara+capex_integracion)+capex_planta*plantas)/F7,"No recupera")</f>
        <v/>
      </c>
    </row>
    <row r="8">
      <c r="A8" s="30" t="n">
        <v>0.95</v>
      </c>
      <c r="B8" s="31">
        <f>estaciones*plantas*throughput_obj_h*horas_mes*(1-$A8)*min_caso_revision/60*costo_hora_co</f>
        <v/>
      </c>
      <c r="C8" s="31">
        <f>actual_mes_co-((azure_total_mes-azure_img_mes+azure_img_mes*((1-$A8)+$A8*muestreo_act)/pct_subidas)*plantas+estaciones*plantas*(capex_pc+capex_camara)*pct_mant_hw/12+B8+estaciones*plantas*fraccion_atencion*horas_mes*factor_cobertura*costo_hora_co)</f>
        <v/>
      </c>
      <c r="D8" s="32">
        <f>IF(C8&gt;0,(estaciones*plantas*(capex_pc+capex_camara+capex_integracion)+capex_planta*plantas)/C8,"No recupera")</f>
        <v/>
      </c>
      <c r="E8" s="31">
        <f>estaciones*plantas*throughput_obj_h*horas_mes*(1-$A8)*min_caso_revision/60*costo_hora_es</f>
        <v/>
      </c>
      <c r="F8" s="31">
        <f>actual_mes_es-((azure_total_mes_ue-azure_img_mes_ue+azure_img_mes_ue*((1-$A8)+$A8*muestreo_act)/pct_subidas)*plantas+estaciones*plantas*(capex_pc+capex_camara)*pct_mant_hw/12+E8+estaciones*plantas*fraccion_atencion*horas_mes*factor_cobertura*costo_hora_es)</f>
        <v/>
      </c>
      <c r="G8" s="32">
        <f>IF(F8&gt;0,(estaciones*plantas*(capex_pc+capex_camara+capex_integracion)+capex_planta*plantas)/F8,"No recupera")</f>
        <v/>
      </c>
    </row>
    <row r="9">
      <c r="A9" s="30" t="n">
        <v>0.99</v>
      </c>
      <c r="B9" s="31">
        <f>estaciones*plantas*throughput_obj_h*horas_mes*(1-$A9)*min_caso_revision/60*costo_hora_co</f>
        <v/>
      </c>
      <c r="C9" s="31">
        <f>actual_mes_co-((azure_total_mes-azure_img_mes+azure_img_mes*((1-$A9)+$A9*muestreo_act)/pct_subidas)*plantas+estaciones*plantas*(capex_pc+capex_camara)*pct_mant_hw/12+B9+estaciones*plantas*fraccion_atencion*horas_mes*factor_cobertura*costo_hora_co)</f>
        <v/>
      </c>
      <c r="D9" s="32">
        <f>IF(C9&gt;0,(estaciones*plantas*(capex_pc+capex_camara+capex_integracion)+capex_planta*plantas)/C9,"No recupera")</f>
        <v/>
      </c>
      <c r="E9" s="31">
        <f>estaciones*plantas*throughput_obj_h*horas_mes*(1-$A9)*min_caso_revision/60*costo_hora_es</f>
        <v/>
      </c>
      <c r="F9" s="31">
        <f>actual_mes_es-((azure_total_mes_ue-azure_img_mes_ue+azure_img_mes_ue*((1-$A9)+$A9*muestreo_act)/pct_subidas)*plantas+estaciones*plantas*(capex_pc+capex_camara)*pct_mant_hw/12+E9+estaciones*plantas*fraccion_atencion*horas_mes*factor_cobertura*costo_hora_es)</f>
        <v/>
      </c>
      <c r="G9" s="32">
        <f>IF(F9&gt;0,(estaciones*plantas*(capex_pc+capex_camara+capex_integracion)+capex_planta*plantas)/F9,"No recupera")</f>
        <v/>
      </c>
    </row>
    <row r="12">
      <c r="A12" s="22" t="inlineStr">
        <is>
          <t>2) Estaciones por planta (% automatizado de Supuestos) — Azure</t>
        </is>
      </c>
    </row>
    <row r="13">
      <c r="A13" s="4" t="inlineStr">
        <is>
          <t>Estaciones</t>
        </is>
      </c>
      <c r="B13" s="4" t="inlineStr">
        <is>
          <t>Costo actual CO</t>
        </is>
      </c>
      <c r="C13" s="4" t="inlineStr">
        <is>
          <t>Costo nuevo CO</t>
        </is>
      </c>
      <c r="D13" s="4" t="inlineStr">
        <is>
          <t>Payback CO (meses)</t>
        </is>
      </c>
      <c r="E13" s="4" t="inlineStr">
        <is>
          <t>Costo actual ES</t>
        </is>
      </c>
      <c r="F13" s="4" t="inlineStr">
        <is>
          <t>Costo nuevo ES</t>
        </is>
      </c>
      <c r="G13" s="4" t="inlineStr">
        <is>
          <t>Payback ES (meses)</t>
        </is>
      </c>
    </row>
    <row r="14">
      <c r="A14" s="33" t="n">
        <v>1</v>
      </c>
      <c r="B14" s="31">
        <f>actual_estacion_co*$A14*plantas</f>
        <v/>
      </c>
      <c r="C14" s="31">
        <f>(azure_fijo_mes+azure_por_estacion_mes*$A14+azure_llm_por_conv*(conv_dia_base+conv_dia_estacion*$A14)*dias_mes)*plantas+$A14*plantas*(throughput_obj_h*horas_mes*(1-pct_automatizado)*min_caso_revision/60*costo_hora_co+fraccion_atencion*horas_mes*factor_cobertura*costo_hora_co+(capex_pc+capex_camara)*pct_mant_hw/12)</f>
        <v/>
      </c>
      <c r="D14" s="32">
        <f>IF(B14&gt;C14,($A14*(capex_pc+capex_camara+capex_integracion)+capex_planta)*plantas/(B14-C14),"No recupera")</f>
        <v/>
      </c>
      <c r="E14" s="31">
        <f>actual_estacion_es*$A14*plantas</f>
        <v/>
      </c>
      <c r="F14" s="31">
        <f>(azure_fijo_mes_ue+azure_por_estacion_mes_ue*$A14+azure_llm_por_conv_ue*(conv_dia_base+conv_dia_estacion*$A14)*dias_mes)*plantas+$A14*plantas*(throughput_obj_h*horas_mes*(1-pct_automatizado)*min_caso_revision/60*costo_hora_es+fraccion_atencion*horas_mes*factor_cobertura*costo_hora_es+(capex_pc+capex_camara)*pct_mant_hw/12)</f>
        <v/>
      </c>
      <c r="G14" s="32">
        <f>IF(E14&gt;F14,($A14*(capex_pc+capex_camara+capex_integracion)+capex_planta)*plantas/(E14-F14),"No recupera")</f>
        <v/>
      </c>
    </row>
    <row r="15">
      <c r="A15" s="33" t="n">
        <v>5</v>
      </c>
      <c r="B15" s="31">
        <f>actual_estacion_co*$A15*plantas</f>
        <v/>
      </c>
      <c r="C15" s="31">
        <f>(azure_fijo_mes+azure_por_estacion_mes*$A15+azure_llm_por_conv*(conv_dia_base+conv_dia_estacion*$A15)*dias_mes)*plantas+$A15*plantas*(throughput_obj_h*horas_mes*(1-pct_automatizado)*min_caso_revision/60*costo_hora_co+fraccion_atencion*horas_mes*factor_cobertura*costo_hora_co+(capex_pc+capex_camara)*pct_mant_hw/12)</f>
        <v/>
      </c>
      <c r="D15" s="32">
        <f>IF(B15&gt;C15,($A15*(capex_pc+capex_camara+capex_integracion)+capex_planta)*plantas/(B15-C15),"No recupera")</f>
        <v/>
      </c>
      <c r="E15" s="31">
        <f>actual_estacion_es*$A15*plantas</f>
        <v/>
      </c>
      <c r="F15" s="31">
        <f>(azure_fijo_mes_ue+azure_por_estacion_mes_ue*$A15+azure_llm_por_conv_ue*(conv_dia_base+conv_dia_estacion*$A15)*dias_mes)*plantas+$A15*plantas*(throughput_obj_h*horas_mes*(1-pct_automatizado)*min_caso_revision/60*costo_hora_es+fraccion_atencion*horas_mes*factor_cobertura*costo_hora_es+(capex_pc+capex_camara)*pct_mant_hw/12)</f>
        <v/>
      </c>
      <c r="G15" s="32">
        <f>IF(E15&gt;F15,($A15*(capex_pc+capex_camara+capex_integracion)+capex_planta)*plantas/(E15-F15),"No recupera")</f>
        <v/>
      </c>
    </row>
    <row r="16">
      <c r="A16" s="33" t="n">
        <v>20</v>
      </c>
      <c r="B16" s="31">
        <f>actual_estacion_co*$A16*plantas</f>
        <v/>
      </c>
      <c r="C16" s="31">
        <f>(azure_fijo_mes+azure_por_estacion_mes*$A16+azure_llm_por_conv*(conv_dia_base+conv_dia_estacion*$A16)*dias_mes)*plantas+$A16*plantas*(throughput_obj_h*horas_mes*(1-pct_automatizado)*min_caso_revision/60*costo_hora_co+fraccion_atencion*horas_mes*factor_cobertura*costo_hora_co+(capex_pc+capex_camara)*pct_mant_hw/12)</f>
        <v/>
      </c>
      <c r="D16" s="32">
        <f>IF(B16&gt;C16,($A16*(capex_pc+capex_camara+capex_integracion)+capex_planta)*plantas/(B16-C16),"No recupera")</f>
        <v/>
      </c>
      <c r="E16" s="31">
        <f>actual_estacion_es*$A16*plantas</f>
        <v/>
      </c>
      <c r="F16" s="31">
        <f>(azure_fijo_mes_ue+azure_por_estacion_mes_ue*$A16+azure_llm_por_conv_ue*(conv_dia_base+conv_dia_estacion*$A16)*dias_mes)*plantas+$A16*plantas*(throughput_obj_h*horas_mes*(1-pct_automatizado)*min_caso_revision/60*costo_hora_es+fraccion_atencion*horas_mes*factor_cobertura*costo_hora_es+(capex_pc+capex_camara)*pct_mant_hw/12)</f>
        <v/>
      </c>
      <c r="G16" s="32">
        <f>IF(E16&gt;F16,($A16*(capex_pc+capex_camara+capex_integracion)+capex_planta)*plantas/(E16-F16),"No recupera")</f>
        <v/>
      </c>
    </row>
    <row r="19">
      <c r="A19" s="22" t="inlineStr">
        <is>
          <t>3) Volumen del asistente: costo LLM mensual por planta (precios EE. UU.)</t>
        </is>
      </c>
    </row>
    <row r="20">
      <c r="A20" s="4" t="inlineStr">
        <is>
          <t>Conversaciones/día</t>
        </is>
      </c>
      <c r="B20" s="4" t="inlineStr">
        <is>
          <t>Azure LLM (USD/mes)</t>
        </is>
      </c>
      <c r="C20" s="4" t="inlineStr">
        <is>
          <t>AWS LLM (USD/mes)</t>
        </is>
      </c>
      <c r="D20" s="4" t="inlineStr">
        <is>
          <t>Azure si todo va a gpt-4.1</t>
        </is>
      </c>
      <c r="E20" s="4" t="inlineStr">
        <is>
          <t>Peso LLM en nube Azure</t>
        </is>
      </c>
      <c r="F20" s="4" t="inlineStr"/>
      <c r="G20" s="4" t="inlineStr"/>
    </row>
    <row r="21">
      <c r="A21" s="33" t="n">
        <v>20</v>
      </c>
      <c r="B21" s="31">
        <f>azure_llm_por_conv*$A21*dias_mes</f>
        <v/>
      </c>
      <c r="C21" s="31">
        <f>aws_llm_por_conv*$A21*dias_mes</f>
        <v/>
      </c>
      <c r="D21" s="31">
        <f>(tok_in_conv*((1-pct_cache)*azure_big_in+pct_cache*azure_big_cache)+tok_out_conv*azure_big_out)/1000*$A21*dias_mes</f>
        <v/>
      </c>
      <c r="E21" s="29">
        <f>B21/(azure_fijo_mes+azure_estacion_total_mes+B21)</f>
        <v/>
      </c>
    </row>
    <row r="22">
      <c r="A22" s="33" t="n">
        <v>60</v>
      </c>
      <c r="B22" s="31">
        <f>azure_llm_por_conv*$A22*dias_mes</f>
        <v/>
      </c>
      <c r="C22" s="31">
        <f>aws_llm_por_conv*$A22*dias_mes</f>
        <v/>
      </c>
      <c r="D22" s="31">
        <f>(tok_in_conv*((1-pct_cache)*azure_big_in+pct_cache*azure_big_cache)+tok_out_conv*azure_big_out)/1000*$A22*dias_mes</f>
        <v/>
      </c>
      <c r="E22" s="29">
        <f>B22/(azure_fijo_mes+azure_estacion_total_mes+B22)</f>
        <v/>
      </c>
    </row>
    <row r="23">
      <c r="A23" s="33" t="n">
        <v>200</v>
      </c>
      <c r="B23" s="31">
        <f>azure_llm_por_conv*$A23*dias_mes</f>
        <v/>
      </c>
      <c r="C23" s="31">
        <f>aws_llm_por_conv*$A23*dias_mes</f>
        <v/>
      </c>
      <c r="D23" s="31">
        <f>(tok_in_conv*((1-pct_cache)*azure_big_in+pct_cache*azure_big_cache)+tok_out_conv*azure_big_out)/1000*$A23*dias_mes</f>
        <v/>
      </c>
      <c r="E23" s="29">
        <f>B23/(azure_fijo_mes+azure_estacion_total_mes+B23)</f>
        <v/>
      </c>
    </row>
    <row r="24">
      <c r="A24" s="33" t="n">
        <v>1000</v>
      </c>
      <c r="B24" s="31">
        <f>azure_llm_por_conv*$A24*dias_mes</f>
        <v/>
      </c>
      <c r="C24" s="31">
        <f>aws_llm_por_conv*$A24*dias_mes</f>
        <v/>
      </c>
      <c r="D24" s="31">
        <f>(tok_in_conv*((1-pct_cache)*azure_big_in+pct_cache*azure_big_cache)+tok_out_conv*azure_big_out)/1000*$A24*dias_mes</f>
        <v/>
      </c>
      <c r="E24" s="29">
        <f>B24/(azure_fijo_mes+azure_estacion_total_mes+B24)</f>
        <v/>
      </c>
    </row>
    <row r="26">
      <c r="A26" t="inlineStr">
        <is>
          <t>La columna 'todo a gpt-4.1' usa las celdas de precio gpt-4.1 de la hoja Azure (rangos azure_big_*).</t>
        </is>
      </c>
    </row>
  </sheetData>
  <mergeCells count="1"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40" customWidth="1" min="5" max="5"/>
    <col width="38" customWidth="1" min="6" max="6"/>
    <col width="40" customWidth="1" min="7" max="7"/>
    <col width="12" customWidth="1" min="8" max="8"/>
    <col width="120" customWidth="1" min="9" max="9"/>
  </cols>
  <sheetData>
    <row r="1">
      <c r="A1" s="1" t="inlineStr">
        <is>
          <t>Fuentes, trazas de consulta y método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60" customHeight="1">
      <c r="A2" s="3" t="inlineStr">
        <is>
          <t>Snapshot: docs/cloud/precios_snapshot.json (fecha 2026-10-24). Regenerar con `uv run python scripts/build_finops.py --refresh-prices`. Cada fila es una consulta reproducible.</t>
        </is>
      </c>
    </row>
    <row r="4">
      <c r="A4" s="4" t="inlineStr">
        <is>
          <t>Clave</t>
        </is>
      </c>
      <c r="B4" s="4" t="inlineStr">
        <is>
          <t>Región</t>
        </is>
      </c>
      <c r="C4" s="4" t="inlineStr">
        <is>
          <t>Precio USD</t>
        </is>
      </c>
      <c r="D4" s="4" t="inlineStr">
        <is>
          <t>Unidad</t>
        </is>
      </c>
      <c r="E4" s="4" t="inlineStr">
        <is>
          <t>Medidor / usagetype</t>
        </is>
      </c>
      <c r="F4" s="4" t="inlineStr">
        <is>
          <t>SKU / id</t>
        </is>
      </c>
      <c r="G4" s="4" t="inlineStr">
        <is>
          <t>Producto / oferta</t>
        </is>
      </c>
      <c r="H4" s="4" t="inlineStr">
        <is>
          <t>Fecha</t>
        </is>
      </c>
      <c r="I4" s="4" t="inlineStr">
        <is>
          <t>Consulta</t>
        </is>
      </c>
    </row>
    <row r="5">
      <c r="A5" t="inlineStr">
        <is>
          <t>az_aca_vcpu</t>
        </is>
      </c>
      <c r="B5" t="inlineStr">
        <is>
          <t>eastus2</t>
        </is>
      </c>
      <c r="C5" t="n">
        <v>2.4e-05</v>
      </c>
      <c r="D5" t="inlineStr">
        <is>
          <t>1 Second</t>
        </is>
      </c>
      <c r="E5" t="inlineStr">
        <is>
          <t>Standard vCPU Active Usage</t>
        </is>
      </c>
      <c r="F5" t="inlineStr">
        <is>
          <t>18ba5751-fda4-558b-b9dc-9416e72b9a62</t>
        </is>
      </c>
      <c r="G5" t="inlineStr">
        <is>
          <t>Azure Container Apps</t>
        </is>
      </c>
      <c r="H5" t="inlineStr">
        <is>
          <t>2026-10-24</t>
        </is>
      </c>
      <c r="I5" s="34" t="inlineStr">
        <is>
          <t>https://prices.azure.com/api/retail/prices?$filter=armRegionName eq 'eastus2' and priceType eq 'Consumption' and serviceName eq 'Azure Container Apps' and meterName eq 'Standard vCPU Active Usage'</t>
        </is>
      </c>
    </row>
    <row r="6">
      <c r="A6" t="inlineStr">
        <is>
          <t>az_aca_vcpu</t>
        </is>
      </c>
      <c r="B6" t="inlineStr">
        <is>
          <t>spaincentral</t>
        </is>
      </c>
      <c r="C6" t="n">
        <v>3.4e-05</v>
      </c>
      <c r="D6" t="inlineStr">
        <is>
          <t>1 Second</t>
        </is>
      </c>
      <c r="E6" t="inlineStr">
        <is>
          <t>Standard vCPU Active Usage</t>
        </is>
      </c>
      <c r="F6" t="inlineStr">
        <is>
          <t>0eac9400-b3dd-53de-bb30-45c8092eaa8d</t>
        </is>
      </c>
      <c r="G6" t="inlineStr">
        <is>
          <t>Azure Container Apps</t>
        </is>
      </c>
      <c r="H6" t="inlineStr">
        <is>
          <t>2026-10-24</t>
        </is>
      </c>
      <c r="I6" s="34" t="inlineStr">
        <is>
          <t>https://prices.azure.com/api/retail/prices?$filter=armRegionName eq 'spaincentral' and priceType eq 'Consumption' and serviceName eq 'Azure Container Apps' and meterName eq 'Standard vCPU Active Usage'</t>
        </is>
      </c>
    </row>
    <row r="7">
      <c r="A7" t="inlineStr">
        <is>
          <t>az_aca_mem</t>
        </is>
      </c>
      <c r="B7" t="inlineStr">
        <is>
          <t>eastus2</t>
        </is>
      </c>
      <c r="C7" t="n">
        <v>3e-06</v>
      </c>
      <c r="D7" t="inlineStr">
        <is>
          <t>1 GiB Second</t>
        </is>
      </c>
      <c r="E7" t="inlineStr">
        <is>
          <t>Standard Memory Active Usage</t>
        </is>
      </c>
      <c r="F7" t="inlineStr">
        <is>
          <t>ef6a0bec-4635-5e9c-8b2e-8b346b998acb</t>
        </is>
      </c>
      <c r="G7" t="inlineStr">
        <is>
          <t>Azure Container Apps</t>
        </is>
      </c>
      <c r="H7" t="inlineStr">
        <is>
          <t>2026-10-24</t>
        </is>
      </c>
      <c r="I7" s="34" t="inlineStr">
        <is>
          <t>https://prices.azure.com/api/retail/prices?$filter=armRegionName eq 'eastus2' and priceType eq 'Consumption' and serviceName eq 'Azure Container Apps' and meterName eq 'Standard Memory Active Usage'</t>
        </is>
      </c>
    </row>
    <row r="8">
      <c r="A8" t="inlineStr">
        <is>
          <t>az_aca_mem</t>
        </is>
      </c>
      <c r="B8" t="inlineStr">
        <is>
          <t>spaincentral</t>
        </is>
      </c>
      <c r="C8" t="n">
        <v>4e-06</v>
      </c>
      <c r="D8" t="inlineStr">
        <is>
          <t>1 GiB Second</t>
        </is>
      </c>
      <c r="E8" t="inlineStr">
        <is>
          <t>Standard Memory Active Usage</t>
        </is>
      </c>
      <c r="F8" t="inlineStr">
        <is>
          <t>5769c54d-3009-5681-a064-c39ee4e45e0c</t>
        </is>
      </c>
      <c r="G8" t="inlineStr">
        <is>
          <t>Azure Container Apps</t>
        </is>
      </c>
      <c r="H8" t="inlineStr">
        <is>
          <t>2026-10-24</t>
        </is>
      </c>
      <c r="I8" s="34" t="inlineStr">
        <is>
          <t>https://prices.azure.com/api/retail/prices?$filter=armRegionName eq 'spaincentral' and priceType eq 'Consumption' and serviceName eq 'Azure Container Apps' and meterName eq 'Standard Memory Active Usage'</t>
        </is>
      </c>
    </row>
    <row r="9">
      <c r="A9" t="inlineStr">
        <is>
          <t>az_aca_pe</t>
        </is>
      </c>
      <c r="B9" t="inlineStr">
        <is>
          <t>eastus2</t>
        </is>
      </c>
      <c r="C9" t="n">
        <v>0.1</v>
      </c>
      <c r="D9" t="inlineStr">
        <is>
          <t>1 Hour</t>
        </is>
      </c>
      <c r="E9" t="inlineStr">
        <is>
          <t>Environment Private Endpoint</t>
        </is>
      </c>
      <c r="F9" t="inlineStr">
        <is>
          <t>b564ef7d-f16d-595f-ad2f-aac2ed16c49e</t>
        </is>
      </c>
      <c r="G9" t="inlineStr">
        <is>
          <t>Azure Container Apps</t>
        </is>
      </c>
      <c r="H9" t="inlineStr">
        <is>
          <t>2026-10-24</t>
        </is>
      </c>
      <c r="I9" s="34" t="inlineStr">
        <is>
          <t>https://prices.azure.com/api/retail/prices?$filter=armRegionName eq 'eastus2' and priceType eq 'Consumption' and serviceName eq 'Azure Container Apps' and meterName eq 'Environment Private Endpoint'</t>
        </is>
      </c>
    </row>
    <row r="10">
      <c r="A10" t="inlineStr">
        <is>
          <t>az_aca_pe</t>
        </is>
      </c>
      <c r="B10" t="inlineStr">
        <is>
          <t>spaincentral</t>
        </is>
      </c>
      <c r="C10" t="n">
        <v>0.13</v>
      </c>
      <c r="D10" t="inlineStr">
        <is>
          <t>1 Hour</t>
        </is>
      </c>
      <c r="E10" t="inlineStr">
        <is>
          <t>Environment Private Endpoint</t>
        </is>
      </c>
      <c r="F10" t="inlineStr">
        <is>
          <t>09c62172-6250-58a9-bb56-d74d00e0695c</t>
        </is>
      </c>
      <c r="G10" t="inlineStr">
        <is>
          <t>Azure Container Apps</t>
        </is>
      </c>
      <c r="H10" t="inlineStr">
        <is>
          <t>2026-10-24</t>
        </is>
      </c>
      <c r="I10" s="34" t="inlineStr">
        <is>
          <t>https://prices.azure.com/api/retail/prices?$filter=armRegionName eq 'spaincentral' and priceType eq 'Consumption' and serviceName eq 'Azure Container Apps' and meterName eq 'Environment Private Endpoint'</t>
        </is>
      </c>
    </row>
    <row r="11">
      <c r="A11" t="inlineStr">
        <is>
          <t>az_acr_basic</t>
        </is>
      </c>
      <c r="B11" t="inlineStr">
        <is>
          <t>eastus2</t>
        </is>
      </c>
      <c r="C11" t="n">
        <v>0.1666</v>
      </c>
      <c r="D11" t="inlineStr">
        <is>
          <t>1/Day</t>
        </is>
      </c>
      <c r="E11" t="inlineStr">
        <is>
          <t>Basic Registry Unit</t>
        </is>
      </c>
      <c r="F11" t="inlineStr">
        <is>
          <t>5c9e7a65-5784-494c-9718-7749d4075dd9</t>
        </is>
      </c>
      <c r="G11" t="inlineStr">
        <is>
          <t>Container Registry</t>
        </is>
      </c>
      <c r="H11" t="inlineStr">
        <is>
          <t>2026-10-24</t>
        </is>
      </c>
      <c r="I11" s="34" t="inlineStr">
        <is>
          <t>https://prices.azure.com/api/retail/prices?$filter=armRegionName eq 'eastus2' and priceType eq 'Consumption' and serviceName eq 'Container Registry' and meterName eq 'Basic Registry Unit'</t>
        </is>
      </c>
    </row>
    <row r="12">
      <c r="A12" t="inlineStr">
        <is>
          <t>az_acr_basic</t>
        </is>
      </c>
      <c r="B12" t="inlineStr">
        <is>
          <t>spaincentral</t>
        </is>
      </c>
      <c r="C12" t="n">
        <v>0.1666</v>
      </c>
      <c r="D12" t="inlineStr">
        <is>
          <t>1/Day</t>
        </is>
      </c>
      <c r="E12" t="inlineStr">
        <is>
          <t>Basic Registry Unit</t>
        </is>
      </c>
      <c r="F12" t="inlineStr">
        <is>
          <t>5c9e7a65-5784-494c-9718-7749d4075dd9</t>
        </is>
      </c>
      <c r="G12" t="inlineStr">
        <is>
          <t>Container Registry</t>
        </is>
      </c>
      <c r="H12" t="inlineStr">
        <is>
          <t>2026-10-24</t>
        </is>
      </c>
      <c r="I12" s="34" t="inlineStr">
        <is>
          <t>https://prices.azure.com/api/retail/prices?$filter=armRegionName eq 'spaincentral' and priceType eq 'Consumption' and serviceName eq 'Container Registry' and meterName eq 'Basic Registry Unit'</t>
        </is>
      </c>
    </row>
    <row r="13">
      <c r="A13" t="inlineStr">
        <is>
          <t>az_vm_d4sv3</t>
        </is>
      </c>
      <c r="B13" t="inlineStr">
        <is>
          <t>eastus2</t>
        </is>
      </c>
      <c r="C13" t="n">
        <v>0.192</v>
      </c>
      <c r="D13" t="inlineStr">
        <is>
          <t>1 Hour</t>
        </is>
      </c>
      <c r="E13" t="inlineStr">
        <is>
          <t>D4s v3</t>
        </is>
      </c>
      <c r="F13" t="inlineStr">
        <is>
          <t>aa182a10-b13d-41c5-8028-2cb317e7d050</t>
        </is>
      </c>
      <c r="G13" t="inlineStr">
        <is>
          <t>Virtual Machines DSv3 Series</t>
        </is>
      </c>
      <c r="H13" t="inlineStr">
        <is>
          <t>2026-10-24</t>
        </is>
      </c>
      <c r="I13" s="34" t="inlineStr">
        <is>
          <t>https://prices.azure.com/api/retail/prices?$filter=armRegionName eq 'eastus2' and priceType eq 'Consumption' and serviceName eq 'Virtual Machines' and armSkuName eq 'Standard_D4s_v3' and meterName eq 'D4s v3'</t>
        </is>
      </c>
    </row>
    <row r="14">
      <c r="A14" t="inlineStr">
        <is>
          <t>az_vm_d4sv3</t>
        </is>
      </c>
      <c r="B14" t="inlineStr">
        <is>
          <t>spaincentral</t>
        </is>
      </c>
      <c r="C14" t="n">
        <v>0.214</v>
      </c>
      <c r="D14" t="inlineStr">
        <is>
          <t>1 Hour</t>
        </is>
      </c>
      <c r="E14" t="inlineStr">
        <is>
          <t>D4s v3</t>
        </is>
      </c>
      <c r="F14" t="inlineStr">
        <is>
          <t>5982d81d-54be-5ab8-8dbe-2e8158bfdc65</t>
        </is>
      </c>
      <c r="G14" t="inlineStr">
        <is>
          <t>Virtual Machines DSv3 Series</t>
        </is>
      </c>
      <c r="H14" t="inlineStr">
        <is>
          <t>2026-10-24</t>
        </is>
      </c>
      <c r="I14" s="34" t="inlineStr">
        <is>
          <t>https://prices.azure.com/api/retail/prices?$filter=armRegionName eq 'spaincentral' and priceType eq 'Consumption' and serviceName eq 'Virtual Machines' and armSkuName eq 'Standard_D4s_v3' and meterName eq 'D4s v3'</t>
        </is>
      </c>
    </row>
    <row r="15">
      <c r="A15" t="inlineStr">
        <is>
          <t>az_pg_d2ds</t>
        </is>
      </c>
      <c r="B15" t="inlineStr">
        <is>
          <t>eastus2</t>
        </is>
      </c>
      <c r="C15" t="n">
        <v>0.178</v>
      </c>
      <c r="D15" t="inlineStr">
        <is>
          <t>1 Hour</t>
        </is>
      </c>
      <c r="E15" t="inlineStr">
        <is>
          <t>vCore</t>
        </is>
      </c>
      <c r="F15" t="inlineStr">
        <is>
          <t>e5283e11-5fe1-5b62-85fa-8cdde9820ed8</t>
        </is>
      </c>
      <c r="G15" t="inlineStr">
        <is>
          <t>Azure Database for PostgreSQL Flexible Server General Purpose Ddsv5 Series Compute</t>
        </is>
      </c>
      <c r="H15" t="inlineStr">
        <is>
          <t>2026-10-24</t>
        </is>
      </c>
      <c r="I15" s="34" t="inlineStr">
        <is>
          <t>https://prices.azure.com/api/retail/prices?$filter=armRegionName eq 'eastus2' and priceType eq 'Consumption' and productName eq 'Azure Database for PostgreSQL Flexible Server General Purpose Ddsv5 Series Compute' and skuName eq '2 vCore'</t>
        </is>
      </c>
    </row>
    <row r="16">
      <c r="A16" t="inlineStr">
        <is>
          <t>az_pg_d2ds</t>
        </is>
      </c>
      <c r="B16" t="inlineStr">
        <is>
          <t>spaincentral</t>
        </is>
      </c>
      <c r="C16" t="n">
        <v>0.212</v>
      </c>
      <c r="D16" t="inlineStr">
        <is>
          <t>1 Hour</t>
        </is>
      </c>
      <c r="E16" t="inlineStr">
        <is>
          <t>vCore</t>
        </is>
      </c>
      <c r="F16" t="inlineStr">
        <is>
          <t>a2a11228-12eb-5c44-811b-19873c2d9e4e</t>
        </is>
      </c>
      <c r="G16" t="inlineStr">
        <is>
          <t>Azure Database for PostgreSQL Flexible Server General Purpose Ddsv5 Series Compute</t>
        </is>
      </c>
      <c r="H16" t="inlineStr">
        <is>
          <t>2026-10-24</t>
        </is>
      </c>
      <c r="I16" s="34" t="inlineStr">
        <is>
          <t>https://prices.azure.com/api/retail/prices?$filter=armRegionName eq 'spaincentral' and priceType eq 'Consumption' and productName eq 'Azure Database for PostgreSQL Flexible Server General Purpose Ddsv5 Series Compute' and skuName eq '2 vCore'</t>
        </is>
      </c>
    </row>
    <row r="17">
      <c r="A17" t="inlineStr">
        <is>
          <t>az_pg_storage</t>
        </is>
      </c>
      <c r="B17" t="inlineStr">
        <is>
          <t>eastus2</t>
        </is>
      </c>
      <c r="C17" t="n">
        <v>0.115</v>
      </c>
      <c r="D17" t="inlineStr">
        <is>
          <t>1 GB/Month</t>
        </is>
      </c>
      <c r="E17" t="inlineStr">
        <is>
          <t>Storage Data Stored</t>
        </is>
      </c>
      <c r="F17" t="inlineStr">
        <is>
          <t>ad50239a-df4f-5c24-8955-066731709372</t>
        </is>
      </c>
      <c r="G17" t="inlineStr">
        <is>
          <t>Azure Database for PostgreSQL Flex Server Storage</t>
        </is>
      </c>
      <c r="H17" t="inlineStr">
        <is>
          <t>2026-10-24</t>
        </is>
      </c>
      <c r="I17" s="34" t="inlineStr">
        <is>
          <t>https://prices.azure.com/api/retail/prices?$filter=armRegionName eq 'eastus2' and priceType eq 'Consumption' and productName eq 'Azure Database for PostgreSQL Flex Server Storage' and meterName eq 'Storage Data Stored'</t>
        </is>
      </c>
    </row>
    <row r="18">
      <c r="A18" t="inlineStr">
        <is>
          <t>az_pg_storage</t>
        </is>
      </c>
      <c r="B18" t="inlineStr">
        <is>
          <t>spaincentral</t>
        </is>
      </c>
      <c r="C18" t="n">
        <v>0.1369</v>
      </c>
      <c r="D18" t="inlineStr">
        <is>
          <t>1 GB/Month</t>
        </is>
      </c>
      <c r="E18" t="inlineStr">
        <is>
          <t>Storage Data Stored</t>
        </is>
      </c>
      <c r="F18" t="inlineStr">
        <is>
          <t>f11bbd38-9c37-5984-99c4-effec4d0c90e</t>
        </is>
      </c>
      <c r="G18" t="inlineStr">
        <is>
          <t>Azure Database for PostgreSQL Flex Server Storage</t>
        </is>
      </c>
      <c r="H18" t="inlineStr">
        <is>
          <t>2026-10-24</t>
        </is>
      </c>
      <c r="I18" s="34" t="inlineStr">
        <is>
          <t>https://prices.azure.com/api/retail/prices?$filter=armRegionName eq 'spaincentral' and priceType eq 'Consumption' and productName eq 'Azure Database for PostgreSQL Flex Server Storage' and meterName eq 'Storage Data Stored'</t>
        </is>
      </c>
    </row>
    <row r="19">
      <c r="A19" t="inlineStr">
        <is>
          <t>az_search_basic</t>
        </is>
      </c>
      <c r="B19" t="inlineStr">
        <is>
          <t>eastus2</t>
        </is>
      </c>
      <c r="C19" t="n">
        <v>0.101</v>
      </c>
      <c r="D19" t="inlineStr">
        <is>
          <t>1 Hour</t>
        </is>
      </c>
      <c r="E19" t="inlineStr">
        <is>
          <t>Basic Unit</t>
        </is>
      </c>
      <c r="F19" t="inlineStr">
        <is>
          <t>0c873ca2-4113-4997-8cf6-ad5df5775599</t>
        </is>
      </c>
      <c r="G19" t="inlineStr">
        <is>
          <t>Azure AI Search</t>
        </is>
      </c>
      <c r="H19" t="inlineStr">
        <is>
          <t>2026-10-24</t>
        </is>
      </c>
      <c r="I19" s="34" t="inlineStr">
        <is>
          <t>https://prices.azure.com/api/retail/prices?$filter=armRegionName eq 'eastus2' and priceType eq 'Consumption' and serviceName eq 'Azure Cognitive Search' and meterName eq 'Basic Unit'</t>
        </is>
      </c>
    </row>
    <row r="20">
      <c r="A20" t="inlineStr">
        <is>
          <t>az_search_basic</t>
        </is>
      </c>
      <c r="B20" t="inlineStr">
        <is>
          <t>spaincentral</t>
        </is>
      </c>
      <c r="C20" t="n">
        <v>0.101</v>
      </c>
      <c r="D20" t="inlineStr">
        <is>
          <t>1 Hour</t>
        </is>
      </c>
      <c r="E20" t="inlineStr">
        <is>
          <t>Basic Unit</t>
        </is>
      </c>
      <c r="F20" t="inlineStr">
        <is>
          <t>0c873ca2-4113-4997-8cf6-ad5df5775599</t>
        </is>
      </c>
      <c r="G20" t="inlineStr">
        <is>
          <t>Azure AI Search</t>
        </is>
      </c>
      <c r="H20" t="inlineStr">
        <is>
          <t>2026-10-24</t>
        </is>
      </c>
      <c r="I20" s="34" t="inlineStr">
        <is>
          <t>https://prices.azure.com/api/retail/prices?$filter=armRegionName eq 'spaincentral' and priceType eq 'Consumption' and serviceName eq 'Azure Cognitive Search' and meterName eq 'Basic Unit'</t>
        </is>
      </c>
    </row>
    <row r="21">
      <c r="A21" t="inlineStr">
        <is>
          <t>az_blob_hot_lrs</t>
        </is>
      </c>
      <c r="B21" t="inlineStr">
        <is>
          <t>eastus2</t>
        </is>
      </c>
      <c r="C21" t="n">
        <v>0.0184</v>
      </c>
      <c r="D21" t="inlineStr">
        <is>
          <t>1 GB/Month</t>
        </is>
      </c>
      <c r="E21" t="inlineStr">
        <is>
          <t>Hot LRS Data Stored</t>
        </is>
      </c>
      <c r="F21" t="inlineStr">
        <is>
          <t>10b97fb2-5db4-4ad2-a4e0-69b858d6b52d</t>
        </is>
      </c>
      <c r="G21" t="inlineStr">
        <is>
          <t>General Block Blob v2</t>
        </is>
      </c>
      <c r="H21" t="inlineStr">
        <is>
          <t>2026-10-24</t>
        </is>
      </c>
      <c r="I21" s="34" t="inlineStr">
        <is>
          <t>https://prices.azure.com/api/retail/prices?$filter=armRegionName eq 'eastus2' and priceType eq 'Consumption' and productName eq 'General Block Blob v2' and meterName eq 'Hot LRS Data Stored'</t>
        </is>
      </c>
    </row>
    <row r="22">
      <c r="A22" t="inlineStr">
        <is>
          <t>az_blob_hot_lrs</t>
        </is>
      </c>
      <c r="B22" t="inlineStr">
        <is>
          <t>spaincentral</t>
        </is>
      </c>
      <c r="C22" t="n">
        <v>0.0184</v>
      </c>
      <c r="D22" t="inlineStr">
        <is>
          <t>1 GB/Month</t>
        </is>
      </c>
      <c r="E22" t="inlineStr">
        <is>
          <t>Hot LRS Data Stored</t>
        </is>
      </c>
      <c r="F22" t="inlineStr">
        <is>
          <t>cc820296-b658-5a8c-80e4-578da30422b7</t>
        </is>
      </c>
      <c r="G22" t="inlineStr">
        <is>
          <t>General Block Blob v2</t>
        </is>
      </c>
      <c r="H22" t="inlineStr">
        <is>
          <t>2026-10-24</t>
        </is>
      </c>
      <c r="I22" s="34" t="inlineStr">
        <is>
          <t>https://prices.azure.com/api/retail/prices?$filter=armRegionName eq 'spaincentral' and priceType eq 'Consumption' and productName eq 'General Block Blob v2' and meterName eq 'Hot LRS Data Stored'</t>
        </is>
      </c>
    </row>
    <row r="23">
      <c r="A23" t="inlineStr">
        <is>
          <t>az_blob_cool_lrs</t>
        </is>
      </c>
      <c r="B23" t="inlineStr">
        <is>
          <t>eastus2</t>
        </is>
      </c>
      <c r="C23" t="n">
        <v>0.01</v>
      </c>
      <c r="D23" t="inlineStr">
        <is>
          <t>1 GB/Month</t>
        </is>
      </c>
      <c r="E23" t="inlineStr">
        <is>
          <t>Cool LRS Data Stored</t>
        </is>
      </c>
      <c r="F23" t="inlineStr">
        <is>
          <t>0e03afd6-cb40-4a1b-9938-0bf4aaca3879</t>
        </is>
      </c>
      <c r="G23" t="inlineStr">
        <is>
          <t>General Block Blob v2</t>
        </is>
      </c>
      <c r="H23" t="inlineStr">
        <is>
          <t>2026-10-24</t>
        </is>
      </c>
      <c r="I23" s="34" t="inlineStr">
        <is>
          <t>https://prices.azure.com/api/retail/prices?$filter=armRegionName eq 'eastus2' and priceType eq 'Consumption' and productName eq 'General Block Blob v2' and meterName eq 'Cool LRS Data Stored'</t>
        </is>
      </c>
    </row>
    <row r="24">
      <c r="A24" t="inlineStr">
        <is>
          <t>az_blob_cool_lrs</t>
        </is>
      </c>
      <c r="B24" t="inlineStr">
        <is>
          <t>spaincentral</t>
        </is>
      </c>
      <c r="C24" t="n">
        <v>0.01</v>
      </c>
      <c r="D24" t="inlineStr">
        <is>
          <t>1 GB/Month</t>
        </is>
      </c>
      <c r="E24" t="inlineStr">
        <is>
          <t>Cool LRS Data Stored</t>
        </is>
      </c>
      <c r="F24" t="inlineStr">
        <is>
          <t>013761e8-a5f1-5da6-8e65-af4baf0549e6</t>
        </is>
      </c>
      <c r="G24" t="inlineStr">
        <is>
          <t>General Block Blob v2</t>
        </is>
      </c>
      <c r="H24" t="inlineStr">
        <is>
          <t>2026-10-24</t>
        </is>
      </c>
      <c r="I24" s="34" t="inlineStr">
        <is>
          <t>https://prices.azure.com/api/retail/prices?$filter=armRegionName eq 'spaincentral' and priceType eq 'Consumption' and productName eq 'General Block Blob v2' and meterName eq 'Cool LRS Data Stored'</t>
        </is>
      </c>
    </row>
    <row r="25">
      <c r="A25" t="inlineStr">
        <is>
          <t>az_blob_archive_lrs</t>
        </is>
      </c>
      <c r="B25" t="inlineStr">
        <is>
          <t>eastus2</t>
        </is>
      </c>
      <c r="C25" t="n">
        <v>0.002</v>
      </c>
      <c r="D25" t="inlineStr">
        <is>
          <t>1 GB/Month</t>
        </is>
      </c>
      <c r="E25" t="inlineStr">
        <is>
          <t>Archive LRS Data Stored</t>
        </is>
      </c>
      <c r="F25" t="inlineStr">
        <is>
          <t>438cc16b-da19-49de-ac43-55fe9a99056d</t>
        </is>
      </c>
      <c r="G25" t="inlineStr">
        <is>
          <t>General Block Blob v2</t>
        </is>
      </c>
      <c r="H25" t="inlineStr">
        <is>
          <t>2026-10-24</t>
        </is>
      </c>
      <c r="I25" s="34" t="inlineStr">
        <is>
          <t>https://prices.azure.com/api/retail/prices?$filter=armRegionName eq 'eastus2' and priceType eq 'Consumption' and productName eq 'General Block Blob v2' and meterName eq 'Archive LRS Data Stored'</t>
        </is>
      </c>
    </row>
    <row r="26">
      <c r="A26" t="inlineStr">
        <is>
          <t>az_blob_archive_lrs</t>
        </is>
      </c>
      <c r="B26" t="inlineStr">
        <is>
          <t>spaincentral</t>
        </is>
      </c>
      <c r="C26" t="n">
        <v>0.0018</v>
      </c>
      <c r="D26" t="inlineStr">
        <is>
          <t>1 GB/Month</t>
        </is>
      </c>
      <c r="E26" t="inlineStr">
        <is>
          <t>Archive LRS Data Stored</t>
        </is>
      </c>
      <c r="F26" t="inlineStr">
        <is>
          <t>209d8f65-2c0a-5ed6-97a1-893bdd90b171</t>
        </is>
      </c>
      <c r="G26" t="inlineStr">
        <is>
          <t>General Block Blob v2</t>
        </is>
      </c>
      <c r="H26" t="inlineStr">
        <is>
          <t>2026-10-24</t>
        </is>
      </c>
      <c r="I26" s="34" t="inlineStr">
        <is>
          <t>https://prices.azure.com/api/retail/prices?$filter=armRegionName eq 'spaincentral' and priceType eq 'Consumption' and productName eq 'General Block Blob v2' and meterName eq 'Archive LRS Data Stored'</t>
        </is>
      </c>
    </row>
    <row r="27">
      <c r="A27" t="inlineStr">
        <is>
          <t>az_blob_hot_zrs</t>
        </is>
      </c>
      <c r="B27" t="inlineStr">
        <is>
          <t>eastus2</t>
        </is>
      </c>
      <c r="C27" t="n">
        <v>0.023</v>
      </c>
      <c r="D27" t="inlineStr">
        <is>
          <t>1 GB/Month</t>
        </is>
      </c>
      <c r="E27" t="inlineStr">
        <is>
          <t>Hot ZRS Data Stored</t>
        </is>
      </c>
      <c r="F27" t="inlineStr">
        <is>
          <t>1c1187d5-03fb-4883-b14c-a254dcb7d5c8</t>
        </is>
      </c>
      <c r="G27" t="inlineStr">
        <is>
          <t>General Block Blob v2</t>
        </is>
      </c>
      <c r="H27" t="inlineStr">
        <is>
          <t>2026-10-24</t>
        </is>
      </c>
      <c r="I27" s="34" t="inlineStr">
        <is>
          <t>https://prices.azure.com/api/retail/prices?$filter=armRegionName eq 'eastus2' and priceType eq 'Consumption' and productName eq 'General Block Blob v2' and meterName eq 'Hot ZRS Data Stored'</t>
        </is>
      </c>
    </row>
    <row r="28">
      <c r="A28" t="inlineStr">
        <is>
          <t>az_blob_hot_zrs</t>
        </is>
      </c>
      <c r="B28" t="inlineStr">
        <is>
          <t>spaincentral</t>
        </is>
      </c>
      <c r="C28" t="n">
        <v>0.023</v>
      </c>
      <c r="D28" t="inlineStr">
        <is>
          <t>1 GB/Month</t>
        </is>
      </c>
      <c r="E28" t="inlineStr">
        <is>
          <t>Hot ZRS Data Stored</t>
        </is>
      </c>
      <c r="F28" t="inlineStr">
        <is>
          <t>e2150f14-0037-5902-b093-d6a29bb23a56</t>
        </is>
      </c>
      <c r="G28" t="inlineStr">
        <is>
          <t>General Block Blob v2</t>
        </is>
      </c>
      <c r="H28" t="inlineStr">
        <is>
          <t>2026-10-24</t>
        </is>
      </c>
      <c r="I28" s="34" t="inlineStr">
        <is>
          <t>https://prices.azure.com/api/retail/prices?$filter=armRegionName eq 'spaincentral' and priceType eq 'Consumption' and productName eq 'General Block Blob v2' and meterName eq 'Hot ZRS Data Stored'</t>
        </is>
      </c>
    </row>
    <row r="29">
      <c r="A29" t="inlineStr">
        <is>
          <t>az_iothub_s1</t>
        </is>
      </c>
      <c r="B29" t="inlineStr">
        <is>
          <t>eastus2</t>
        </is>
      </c>
      <c r="C29" t="n">
        <v>25</v>
      </c>
      <c r="D29" t="inlineStr">
        <is>
          <t>1/Month</t>
        </is>
      </c>
      <c r="E29" t="inlineStr">
        <is>
          <t>S1 Unit</t>
        </is>
      </c>
      <c r="F29" t="inlineStr">
        <is>
          <t>2885a6b2-5013-4fa9-8f3b-fc3ead8d136d</t>
        </is>
      </c>
      <c r="G29" t="inlineStr">
        <is>
          <t>IoT Hub</t>
        </is>
      </c>
      <c r="H29" t="inlineStr">
        <is>
          <t>2026-10-24</t>
        </is>
      </c>
      <c r="I29" s="34" t="inlineStr">
        <is>
          <t>https://prices.azure.com/api/retail/prices?$filter=armRegionName eq 'eastus2' and priceType eq 'Consumption' and serviceName eq 'IoT Hub' and meterName eq 'S1 Unit'</t>
        </is>
      </c>
    </row>
    <row r="30">
      <c r="A30" t="inlineStr">
        <is>
          <t>az_iothub_s1</t>
        </is>
      </c>
      <c r="B30" t="inlineStr">
        <is>
          <t>westeurope</t>
        </is>
      </c>
      <c r="C30" t="n">
        <v>25</v>
      </c>
      <c r="D30" t="inlineStr">
        <is>
          <t>1/Month</t>
        </is>
      </c>
      <c r="E30" t="inlineStr">
        <is>
          <t>S1 Unit</t>
        </is>
      </c>
      <c r="F30" t="inlineStr">
        <is>
          <t>2885a6b2-5013-4fa9-8f3b-fc3ead8d136d</t>
        </is>
      </c>
      <c r="G30" t="inlineStr">
        <is>
          <t>IoT Hub</t>
        </is>
      </c>
      <c r="H30" t="inlineStr">
        <is>
          <t>2026-10-24</t>
        </is>
      </c>
      <c r="I30" s="34" t="inlineStr">
        <is>
          <t>https://prices.azure.com/api/retail/prices?$filter=armRegionName eq 'westeurope' and priceType eq 'Consumption' and serviceName eq 'IoT Hub' and meterName eq 'S1 Unit'</t>
        </is>
      </c>
    </row>
    <row r="31">
      <c r="A31" t="inlineStr">
        <is>
          <t>az_def_servers_p2</t>
        </is>
      </c>
      <c r="B31" t="inlineStr">
        <is>
          <t>eastus2</t>
        </is>
      </c>
      <c r="C31" t="n">
        <v>0.02</v>
      </c>
      <c r="D31" t="inlineStr">
        <is>
          <t>1/Hour</t>
        </is>
      </c>
      <c r="E31" t="inlineStr">
        <is>
          <t>Standard P2 Node</t>
        </is>
      </c>
      <c r="F31" t="inlineStr">
        <is>
          <t>0fad698c-40bf-4ee1-a096-565fc6f0cddd</t>
        </is>
      </c>
      <c r="G31" t="inlineStr">
        <is>
          <t>Microsoft Defender for Servers</t>
        </is>
      </c>
      <c r="H31" t="inlineStr">
        <is>
          <t>2026-10-24</t>
        </is>
      </c>
      <c r="I31" s="34" t="inlineStr">
        <is>
          <t>https://prices.azure.com/api/retail/prices?$filter=armRegionName eq 'eastus2' and priceType eq 'Consumption' and productName eq 'Microsoft Defender for Servers' and meterName eq 'Standard P2 Node'</t>
        </is>
      </c>
    </row>
    <row r="32">
      <c r="A32" t="inlineStr">
        <is>
          <t>az_def_servers_p2</t>
        </is>
      </c>
      <c r="B32" t="inlineStr">
        <is>
          <t>spaincentral</t>
        </is>
      </c>
      <c r="C32" t="n">
        <v>0.02</v>
      </c>
      <c r="D32" t="inlineStr">
        <is>
          <t>1/Hour</t>
        </is>
      </c>
      <c r="E32" t="inlineStr">
        <is>
          <t>Standard P2 Node</t>
        </is>
      </c>
      <c r="F32" t="inlineStr">
        <is>
          <t>0fad698c-40bf-4ee1-a096-565fc6f0cddd</t>
        </is>
      </c>
      <c r="G32" t="inlineStr">
        <is>
          <t>Microsoft Defender for Servers</t>
        </is>
      </c>
      <c r="H32" t="inlineStr">
        <is>
          <t>2026-10-24</t>
        </is>
      </c>
      <c r="I32" s="34" t="inlineStr">
        <is>
          <t>https://prices.azure.com/api/retail/prices?$filter=armRegionName eq 'spaincentral' and priceType eq 'Consumption' and productName eq 'Microsoft Defender for Servers' and meterName eq 'Standard P2 Node'</t>
        </is>
      </c>
    </row>
    <row r="33">
      <c r="A33" t="inlineStr">
        <is>
          <t>az_kv_ops</t>
        </is>
      </c>
      <c r="B33" t="inlineStr">
        <is>
          <t>eastus2</t>
        </is>
      </c>
      <c r="C33" t="n">
        <v>0.03</v>
      </c>
      <c r="D33" t="inlineStr">
        <is>
          <t>10K</t>
        </is>
      </c>
      <c r="E33" t="inlineStr">
        <is>
          <t>Operations</t>
        </is>
      </c>
      <c r="F33" t="inlineStr">
        <is>
          <t>0f824807-2376-435c-95c9-f992b67a07b0</t>
        </is>
      </c>
      <c r="G33" t="inlineStr">
        <is>
          <t>Key Vault</t>
        </is>
      </c>
      <c r="H33" t="inlineStr">
        <is>
          <t>2026-10-24</t>
        </is>
      </c>
      <c r="I33" s="34" t="inlineStr">
        <is>
          <t>https://prices.azure.com/api/retail/prices?$filter=armRegionName eq 'eastus2' and priceType eq 'Consumption' and serviceName eq 'Key Vault' and skuName eq 'Standard' and meterName eq 'Operations'</t>
        </is>
      </c>
    </row>
    <row r="34">
      <c r="A34" t="inlineStr">
        <is>
          <t>az_kv_ops</t>
        </is>
      </c>
      <c r="B34" t="inlineStr">
        <is>
          <t>spaincentral</t>
        </is>
      </c>
      <c r="C34" t="n">
        <v>0.03</v>
      </c>
      <c r="D34" t="inlineStr">
        <is>
          <t>10K</t>
        </is>
      </c>
      <c r="E34" t="inlineStr">
        <is>
          <t>Operations</t>
        </is>
      </c>
      <c r="F34" t="inlineStr">
        <is>
          <t>e3a8df3f-b51b-56d8-8072-7a2a7b54ad90</t>
        </is>
      </c>
      <c r="G34" t="inlineStr">
        <is>
          <t>Key Vault</t>
        </is>
      </c>
      <c r="H34" t="inlineStr">
        <is>
          <t>2026-10-24</t>
        </is>
      </c>
      <c r="I34" s="34" t="inlineStr">
        <is>
          <t>https://prices.azure.com/api/retail/prices?$filter=armRegionName eq 'spaincentral' and priceType eq 'Consumption' and serviceName eq 'Key Vault' and skuName eq 'Standard' and meterName eq 'Operations'</t>
        </is>
      </c>
    </row>
    <row r="35">
      <c r="A35" t="inlineStr">
        <is>
          <t>az_la_ingest</t>
        </is>
      </c>
      <c r="B35" t="inlineStr">
        <is>
          <t>eastus2</t>
        </is>
      </c>
      <c r="C35" t="n">
        <v>2.76</v>
      </c>
      <c r="D35" t="inlineStr">
        <is>
          <t>1 GB</t>
        </is>
      </c>
      <c r="E35" t="inlineStr">
        <is>
          <t>Analytics Logs Data Ingestion</t>
        </is>
      </c>
      <c r="F35" t="inlineStr">
        <is>
          <t>ec00a25a-ab14-4b7b-a94f-66581f123295</t>
        </is>
      </c>
      <c r="G35" t="inlineStr">
        <is>
          <t>Log Analytics</t>
        </is>
      </c>
      <c r="H35" t="inlineStr">
        <is>
          <t>2026-10-24</t>
        </is>
      </c>
      <c r="I35" s="34" t="inlineStr">
        <is>
          <t>https://prices.azure.com/api/retail/prices?$filter=armRegionName eq 'eastus2' and priceType eq 'Consumption' and serviceName eq 'Log Analytics' and meterName eq 'Analytics Logs Data Ingestion'</t>
        </is>
      </c>
    </row>
    <row r="36">
      <c r="A36" t="inlineStr">
        <is>
          <t>az_la_ingest</t>
        </is>
      </c>
      <c r="B36" t="inlineStr">
        <is>
          <t>spaincentral</t>
        </is>
      </c>
      <c r="C36" t="n">
        <v>2.99</v>
      </c>
      <c r="D36" t="inlineStr">
        <is>
          <t>1 GB</t>
        </is>
      </c>
      <c r="E36" t="inlineStr">
        <is>
          <t>Analytics Logs Data Ingestion</t>
        </is>
      </c>
      <c r="F36" t="inlineStr">
        <is>
          <t>5c9dd944-1840-5334-b189-4db4c39ec313</t>
        </is>
      </c>
      <c r="G36" t="inlineStr">
        <is>
          <t>Log Analytics</t>
        </is>
      </c>
      <c r="H36" t="inlineStr">
        <is>
          <t>2026-10-24</t>
        </is>
      </c>
      <c r="I36" s="34" t="inlineStr">
        <is>
          <t>https://prices.azure.com/api/retail/prices?$filter=armRegionName eq 'spaincentral' and priceType eq 'Consumption' and serviceName eq 'Log Analytics' and meterName eq 'Analytics Logs Data Ingestion'</t>
        </is>
      </c>
    </row>
    <row r="37">
      <c r="A37" t="inlineStr">
        <is>
          <t>az_def_cont_img</t>
        </is>
      </c>
      <c r="B37" t="inlineStr">
        <is>
          <t>eastus2</t>
        </is>
      </c>
      <c r="C37" t="n">
        <v>0.29</v>
      </c>
      <c r="D37" t="inlineStr">
        <is>
          <t>1</t>
        </is>
      </c>
      <c r="E37" t="inlineStr">
        <is>
          <t>Standard Images</t>
        </is>
      </c>
      <c r="F37" t="inlineStr">
        <is>
          <t>9e34b8de-d9a4-513a-9cf7-f2307f5e1bb1</t>
        </is>
      </c>
      <c r="G37" t="inlineStr">
        <is>
          <t>Microsoft Defender for Containers</t>
        </is>
      </c>
      <c r="H37" t="inlineStr">
        <is>
          <t>2026-10-24</t>
        </is>
      </c>
      <c r="I37" s="34" t="inlineStr">
        <is>
          <t>https://prices.azure.com/api/retail/prices?$filter=armRegionName eq 'eastus2' and priceType eq 'Consumption' and productName eq 'Microsoft Defender for Containers' and meterName eq 'Standard Images'</t>
        </is>
      </c>
    </row>
    <row r="38">
      <c r="A38" t="inlineStr">
        <is>
          <t>az_def_cont_img</t>
        </is>
      </c>
      <c r="B38" t="inlineStr">
        <is>
          <t>spaincentral</t>
        </is>
      </c>
      <c r="C38" t="n">
        <v>0.29</v>
      </c>
      <c r="D38" t="inlineStr">
        <is>
          <t>1</t>
        </is>
      </c>
      <c r="E38" t="inlineStr">
        <is>
          <t>Standard Images</t>
        </is>
      </c>
      <c r="F38" t="inlineStr">
        <is>
          <t>9e34b8de-d9a4-513a-9cf7-f2307f5e1bb1</t>
        </is>
      </c>
      <c r="G38" t="inlineStr">
        <is>
          <t>Microsoft Defender for Containers</t>
        </is>
      </c>
      <c r="H38" t="inlineStr">
        <is>
          <t>2026-10-24</t>
        </is>
      </c>
      <c r="I38" s="34" t="inlineStr">
        <is>
          <t>https://prices.azure.com/api/retail/prices?$filter=armRegionName eq 'spaincentral' and priceType eq 'Consumption' and productName eq 'Microsoft Defender for Containers' and meterName eq 'Standard Images'</t>
        </is>
      </c>
    </row>
    <row r="39">
      <c r="A39" t="inlineStr">
        <is>
          <t>az_aoai_emb</t>
        </is>
      </c>
      <c r="B39" t="inlineStr">
        <is>
          <t>eastus2</t>
        </is>
      </c>
      <c r="C39" t="n">
        <v>2e-05</v>
      </c>
      <c r="D39" t="inlineStr">
        <is>
          <t>1K</t>
        </is>
      </c>
      <c r="E39" t="inlineStr">
        <is>
          <t>text-embedding-3-small-glbl Tokens</t>
        </is>
      </c>
      <c r="F39" t="inlineStr">
        <is>
          <t>79411302-3248-56fa-acef-d3c36c861a0f</t>
        </is>
      </c>
      <c r="G39" t="inlineStr">
        <is>
          <t>Azure OpenAI</t>
        </is>
      </c>
      <c r="H39" t="inlineStr">
        <is>
          <t>2026-10-24</t>
        </is>
      </c>
      <c r="I39" s="34" t="inlineStr">
        <is>
          <t>https://prices.azure.com/api/retail/prices?$filter=armRegionName eq 'eastus2' and priceType eq 'Consumption' and productName eq 'Azure OpenAI' and meterName eq 'text-embedding-3-small-glbl Tokens'</t>
        </is>
      </c>
    </row>
    <row r="40">
      <c r="A40" t="inlineStr">
        <is>
          <t>az_aoai_emb</t>
        </is>
      </c>
      <c r="B40" t="inlineStr">
        <is>
          <t>spaincentral</t>
        </is>
      </c>
      <c r="C40" t="n">
        <v>2e-05</v>
      </c>
      <c r="D40" t="inlineStr">
        <is>
          <t>1K</t>
        </is>
      </c>
      <c r="E40" t="inlineStr">
        <is>
          <t>text-embedding-3-small-glbl Tokens</t>
        </is>
      </c>
      <c r="F40" t="inlineStr">
        <is>
          <t>3050e9f9-49d1-5a7b-9e8d-7f29c90edb87</t>
        </is>
      </c>
      <c r="G40" t="inlineStr">
        <is>
          <t>Azure OpenAI</t>
        </is>
      </c>
      <c r="H40" t="inlineStr">
        <is>
          <t>2026-10-24</t>
        </is>
      </c>
      <c r="I40" s="34" t="inlineStr">
        <is>
          <t>https://prices.azure.com/api/retail/prices?$filter=armRegionName eq 'spaincentral' and priceType eq 'Consumption' and productName eq 'Azure OpenAI' and meterName eq 'text-embedding-3-small-glbl Tokens'</t>
        </is>
      </c>
    </row>
    <row r="41">
      <c r="A41" t="inlineStr">
        <is>
          <t>az_aoai_mini_in</t>
        </is>
      </c>
      <c r="B41" t="inlineStr">
        <is>
          <t>eastus2</t>
        </is>
      </c>
      <c r="C41" t="n">
        <v>0.00044</v>
      </c>
      <c r="D41" t="inlineStr">
        <is>
          <t>1K</t>
        </is>
      </c>
      <c r="E41" t="inlineStr">
        <is>
          <t>gpt 4.1 mini Inp Data Zone Tokens</t>
        </is>
      </c>
      <c r="F41" t="inlineStr">
        <is>
          <t>47ae5b46-8901-5596-aa9d-4034169ada57</t>
        </is>
      </c>
      <c r="G41" t="inlineStr">
        <is>
          <t>Azure OpenAI</t>
        </is>
      </c>
      <c r="H41" t="inlineStr">
        <is>
          <t>2026-10-24</t>
        </is>
      </c>
      <c r="I41" s="34" t="inlineStr">
        <is>
          <t>https://prices.azure.com/api/retail/prices?$filter=armRegionName eq 'eastus2' and priceType eq 'Consumption' and productName eq 'Azure OpenAI' and meterName eq 'gpt 4.1 mini Inp Data Zone Tokens'</t>
        </is>
      </c>
    </row>
    <row r="42">
      <c r="A42" t="inlineStr">
        <is>
          <t>az_aoai_mini_in</t>
        </is>
      </c>
      <c r="B42" t="inlineStr">
        <is>
          <t>spaincentral</t>
        </is>
      </c>
      <c r="C42" t="n">
        <v>0.00044</v>
      </c>
      <c r="D42" t="inlineStr">
        <is>
          <t>1K</t>
        </is>
      </c>
      <c r="E42" t="inlineStr">
        <is>
          <t>gpt 4.1 mini Inp Data Zone Tokens</t>
        </is>
      </c>
      <c r="F42" t="inlineStr">
        <is>
          <t>236ca140-adc8-5d01-9e0e-7ea7cf7f52f7</t>
        </is>
      </c>
      <c r="G42" t="inlineStr">
        <is>
          <t>Azure OpenAI</t>
        </is>
      </c>
      <c r="H42" t="inlineStr">
        <is>
          <t>2026-10-24</t>
        </is>
      </c>
      <c r="I42" s="34" t="inlineStr">
        <is>
          <t>https://prices.azure.com/api/retail/prices?$filter=armRegionName eq 'spaincentral' and priceType eq 'Consumption' and productName eq 'Azure OpenAI' and meterName eq 'gpt 4.1 mini Inp Data Zone Tokens'</t>
        </is>
      </c>
    </row>
    <row r="43">
      <c r="A43" t="inlineStr">
        <is>
          <t>az_aoai_mini_cache</t>
        </is>
      </c>
      <c r="B43" t="inlineStr">
        <is>
          <t>eastus2</t>
        </is>
      </c>
      <c r="C43" t="n">
        <v>0.00011</v>
      </c>
      <c r="D43" t="inlineStr">
        <is>
          <t>1K</t>
        </is>
      </c>
      <c r="E43" t="inlineStr">
        <is>
          <t>gpt 4.1 mini cached Inp DZone Tokens</t>
        </is>
      </c>
      <c r="F43" t="inlineStr">
        <is>
          <t>553f957b-fab4-5bf9-a75a-311c1cc3c0b7</t>
        </is>
      </c>
      <c r="G43" t="inlineStr">
        <is>
          <t>Azure OpenAI</t>
        </is>
      </c>
      <c r="H43" t="inlineStr">
        <is>
          <t>2026-10-24</t>
        </is>
      </c>
      <c r="I43" s="34" t="inlineStr">
        <is>
          <t>https://prices.azure.com/api/retail/prices?$filter=armRegionName eq 'eastus2' and priceType eq 'Consumption' and productName eq 'Azure OpenAI' and meterName eq 'gpt 4.1 mini cached Inp DZone Tokens'</t>
        </is>
      </c>
    </row>
    <row r="44">
      <c r="A44" t="inlineStr">
        <is>
          <t>az_aoai_mini_cache</t>
        </is>
      </c>
      <c r="B44" t="inlineStr">
        <is>
          <t>spaincentral</t>
        </is>
      </c>
      <c r="C44" t="n">
        <v>0.00011</v>
      </c>
      <c r="D44" t="inlineStr">
        <is>
          <t>1K</t>
        </is>
      </c>
      <c r="E44" t="inlineStr">
        <is>
          <t>gpt 4.1 mini cached Inp DZone Tokens</t>
        </is>
      </c>
      <c r="F44" t="inlineStr">
        <is>
          <t>6ae5e43f-c3b8-517d-8bf0-a6dbbffe105e</t>
        </is>
      </c>
      <c r="G44" t="inlineStr">
        <is>
          <t>Azure OpenAI</t>
        </is>
      </c>
      <c r="H44" t="inlineStr">
        <is>
          <t>2026-10-24</t>
        </is>
      </c>
      <c r="I44" s="34" t="inlineStr">
        <is>
          <t>https://prices.azure.com/api/retail/prices?$filter=armRegionName eq 'spaincentral' and priceType eq 'Consumption' and productName eq 'Azure OpenAI' and meterName eq 'gpt 4.1 mini cached Inp DZone Tokens'</t>
        </is>
      </c>
    </row>
    <row r="45">
      <c r="A45" t="inlineStr">
        <is>
          <t>az_aoai_mini_out</t>
        </is>
      </c>
      <c r="B45" t="inlineStr">
        <is>
          <t>eastus2</t>
        </is>
      </c>
      <c r="C45" t="n">
        <v>0.00176</v>
      </c>
      <c r="D45" t="inlineStr">
        <is>
          <t>1K</t>
        </is>
      </c>
      <c r="E45" t="inlineStr">
        <is>
          <t>gpt 4.1 mini Outp Data Zone Tokens</t>
        </is>
      </c>
      <c r="F45" t="inlineStr">
        <is>
          <t>ea5ef174-9e27-572a-8100-ad2bdd917e83</t>
        </is>
      </c>
      <c r="G45" t="inlineStr">
        <is>
          <t>Azure OpenAI</t>
        </is>
      </c>
      <c r="H45" t="inlineStr">
        <is>
          <t>2026-10-24</t>
        </is>
      </c>
      <c r="I45" s="34" t="inlineStr">
        <is>
          <t>https://prices.azure.com/api/retail/prices?$filter=armRegionName eq 'eastus2' and priceType eq 'Consumption' and productName eq 'Azure OpenAI' and meterName eq 'gpt 4.1 mini Outp Data Zone Tokens'</t>
        </is>
      </c>
    </row>
    <row r="46">
      <c r="A46" t="inlineStr">
        <is>
          <t>az_aoai_mini_out</t>
        </is>
      </c>
      <c r="B46" t="inlineStr">
        <is>
          <t>spaincentral</t>
        </is>
      </c>
      <c r="C46" t="n">
        <v>0.00176</v>
      </c>
      <c r="D46" t="inlineStr">
        <is>
          <t>1K</t>
        </is>
      </c>
      <c r="E46" t="inlineStr">
        <is>
          <t>gpt 4.1 mini Outp Data Zone Tokens</t>
        </is>
      </c>
      <c r="F46" t="inlineStr">
        <is>
          <t>c1eecf43-6075-5b43-b8ac-4554ac555033</t>
        </is>
      </c>
      <c r="G46" t="inlineStr">
        <is>
          <t>Azure OpenAI</t>
        </is>
      </c>
      <c r="H46" t="inlineStr">
        <is>
          <t>2026-10-24</t>
        </is>
      </c>
      <c r="I46" s="34" t="inlineStr">
        <is>
          <t>https://prices.azure.com/api/retail/prices?$filter=armRegionName eq 'spaincentral' and priceType eq 'Consumption' and productName eq 'Azure OpenAI' and meterName eq 'gpt 4.1 mini Outp Data Zone Tokens'</t>
        </is>
      </c>
    </row>
    <row r="47">
      <c r="A47" t="inlineStr">
        <is>
          <t>az_aoai_big_in</t>
        </is>
      </c>
      <c r="B47" t="inlineStr">
        <is>
          <t>eastus2</t>
        </is>
      </c>
      <c r="C47" t="n">
        <v>0.0022</v>
      </c>
      <c r="D47" t="inlineStr">
        <is>
          <t>1K</t>
        </is>
      </c>
      <c r="E47" t="inlineStr">
        <is>
          <t>gpt 4.1 Inp Data Zone Tokens</t>
        </is>
      </c>
      <c r="F47" t="inlineStr">
        <is>
          <t>cd10788f-5329-53a3-9229-3ef5137fa80e</t>
        </is>
      </c>
      <c r="G47" t="inlineStr">
        <is>
          <t>Azure OpenAI</t>
        </is>
      </c>
      <c r="H47" t="inlineStr">
        <is>
          <t>2026-10-24</t>
        </is>
      </c>
      <c r="I47" s="34" t="inlineStr">
        <is>
          <t>https://prices.azure.com/api/retail/prices?$filter=armRegionName eq 'eastus2' and priceType eq 'Consumption' and productName eq 'Azure OpenAI' and meterName eq 'gpt 4.1 Inp Data Zone Tokens'</t>
        </is>
      </c>
    </row>
    <row r="48">
      <c r="A48" t="inlineStr">
        <is>
          <t>az_aoai_big_in</t>
        </is>
      </c>
      <c r="B48" t="inlineStr">
        <is>
          <t>spaincentral</t>
        </is>
      </c>
      <c r="C48" t="n">
        <v>0.0022</v>
      </c>
      <c r="D48" t="inlineStr">
        <is>
          <t>1K</t>
        </is>
      </c>
      <c r="E48" t="inlineStr">
        <is>
          <t>gpt 4.1 Inp Data Zone Tokens</t>
        </is>
      </c>
      <c r="F48" t="inlineStr">
        <is>
          <t>8f895efe-6bc3-5d49-beea-ba1de5ac3a7b</t>
        </is>
      </c>
      <c r="G48" t="inlineStr">
        <is>
          <t>Azure OpenAI</t>
        </is>
      </c>
      <c r="H48" t="inlineStr">
        <is>
          <t>2026-10-24</t>
        </is>
      </c>
      <c r="I48" s="34" t="inlineStr">
        <is>
          <t>https://prices.azure.com/api/retail/prices?$filter=armRegionName eq 'spaincentral' and priceType eq 'Consumption' and productName eq 'Azure OpenAI' and meterName eq 'gpt 4.1 Inp Data Zone Tokens'</t>
        </is>
      </c>
    </row>
    <row r="49">
      <c r="A49" t="inlineStr">
        <is>
          <t>az_aoai_big_cache</t>
        </is>
      </c>
      <c r="B49" t="inlineStr">
        <is>
          <t>eastus2</t>
        </is>
      </c>
      <c r="C49" t="n">
        <v>0.00055</v>
      </c>
      <c r="D49" t="inlineStr">
        <is>
          <t>1K</t>
        </is>
      </c>
      <c r="E49" t="inlineStr">
        <is>
          <t>gpt 4.1 cached Inp Data Zone Tokens</t>
        </is>
      </c>
      <c r="F49" t="inlineStr">
        <is>
          <t>d852d124-cc2a-5b54-ba95-50a07974b07e</t>
        </is>
      </c>
      <c r="G49" t="inlineStr">
        <is>
          <t>Azure OpenAI</t>
        </is>
      </c>
      <c r="H49" t="inlineStr">
        <is>
          <t>2026-10-24</t>
        </is>
      </c>
      <c r="I49" s="34" t="inlineStr">
        <is>
          <t>https://prices.azure.com/api/retail/prices?$filter=armRegionName eq 'eastus2' and priceType eq 'Consumption' and productName eq 'Azure OpenAI' and meterName eq 'gpt 4.1 cached Inp Data Zone Tokens'</t>
        </is>
      </c>
    </row>
    <row r="50">
      <c r="A50" t="inlineStr">
        <is>
          <t>az_aoai_big_cache</t>
        </is>
      </c>
      <c r="B50" t="inlineStr">
        <is>
          <t>spaincentral</t>
        </is>
      </c>
      <c r="C50" t="n">
        <v>0.00055</v>
      </c>
      <c r="D50" t="inlineStr">
        <is>
          <t>1K</t>
        </is>
      </c>
      <c r="E50" t="inlineStr">
        <is>
          <t>gpt 4.1 cached Inp Data Zone Tokens</t>
        </is>
      </c>
      <c r="F50" t="inlineStr">
        <is>
          <t>3fed2755-fbbb-5b47-b0be-9a0726374704</t>
        </is>
      </c>
      <c r="G50" t="inlineStr">
        <is>
          <t>Azure OpenAI</t>
        </is>
      </c>
      <c r="H50" t="inlineStr">
        <is>
          <t>2026-10-24</t>
        </is>
      </c>
      <c r="I50" s="34" t="inlineStr">
        <is>
          <t>https://prices.azure.com/api/retail/prices?$filter=armRegionName eq 'spaincentral' and priceType eq 'Consumption' and productName eq 'Azure OpenAI' and meterName eq 'gpt 4.1 cached Inp Data Zone Tokens'</t>
        </is>
      </c>
    </row>
    <row r="51">
      <c r="A51" t="inlineStr">
        <is>
          <t>az_aoai_big_out</t>
        </is>
      </c>
      <c r="B51" t="inlineStr">
        <is>
          <t>eastus2</t>
        </is>
      </c>
      <c r="C51" t="n">
        <v>0.008800000000000001</v>
      </c>
      <c r="D51" t="inlineStr">
        <is>
          <t>1K</t>
        </is>
      </c>
      <c r="E51" t="inlineStr">
        <is>
          <t>gpt 4.1 Outp Data Zone Tokens</t>
        </is>
      </c>
      <c r="F51" t="inlineStr">
        <is>
          <t>ef52573e-d8a3-5c7d-98a7-868ee9f6bc24</t>
        </is>
      </c>
      <c r="G51" t="inlineStr">
        <is>
          <t>Azure OpenAI</t>
        </is>
      </c>
      <c r="H51" t="inlineStr">
        <is>
          <t>2026-10-24</t>
        </is>
      </c>
      <c r="I51" s="34" t="inlineStr">
        <is>
          <t>https://prices.azure.com/api/retail/prices?$filter=armRegionName eq 'eastus2' and priceType eq 'Consumption' and productName eq 'Azure OpenAI' and meterName eq 'gpt 4.1 Outp Data Zone Tokens'</t>
        </is>
      </c>
    </row>
    <row r="52">
      <c r="A52" t="inlineStr">
        <is>
          <t>az_aoai_big_out</t>
        </is>
      </c>
      <c r="B52" t="inlineStr">
        <is>
          <t>spaincentral</t>
        </is>
      </c>
      <c r="C52" t="n">
        <v>0.008800000000000001</v>
      </c>
      <c r="D52" t="inlineStr">
        <is>
          <t>1K</t>
        </is>
      </c>
      <c r="E52" t="inlineStr">
        <is>
          <t>gpt 4.1 Outp Data Zone Tokens</t>
        </is>
      </c>
      <c r="F52" t="inlineStr">
        <is>
          <t>093c6c76-ce34-51c1-964f-e98f6c2ea724</t>
        </is>
      </c>
      <c r="G52" t="inlineStr">
        <is>
          <t>Azure OpenAI</t>
        </is>
      </c>
      <c r="H52" t="inlineStr">
        <is>
          <t>2026-10-24</t>
        </is>
      </c>
      <c r="I52" s="34" t="inlineStr">
        <is>
          <t>https://prices.azure.com/api/retail/prices?$filter=armRegionName eq 'spaincentral' and priceType eq 'Consumption' and productName eq 'Azure OpenAI' and meterName eq 'gpt 4.1 Outp Data Zone Tokens'</t>
        </is>
      </c>
    </row>
    <row r="53">
      <c r="A53" t="inlineStr">
        <is>
          <t>aws_fargate_vcpu</t>
        </is>
      </c>
      <c r="B53" t="inlineStr">
        <is>
          <t>us-east-1</t>
        </is>
      </c>
      <c r="C53" t="n">
        <v>0.04048</v>
      </c>
      <c r="D53" t="inlineStr">
        <is>
          <t>hours</t>
        </is>
      </c>
      <c r="E53" t="inlineStr">
        <is>
          <t>USE1-Fargate-vCPU-Hours:perCPU</t>
        </is>
      </c>
      <c r="F53" t="inlineStr">
        <is>
          <t>8CESGAFWKAJ98PME</t>
        </is>
      </c>
      <c r="G53" t="inlineStr">
        <is>
          <t>AmazonECS</t>
        </is>
      </c>
      <c r="H53" t="inlineStr">
        <is>
          <t>2026-10-24</t>
        </is>
      </c>
      <c r="I53" s="34" t="inlineStr">
        <is>
          <t>https://pricing.us-east-1.amazonaws.com/offers/v1.0/aws/AmazonECS/current/us-east-1/index.json</t>
        </is>
      </c>
    </row>
    <row r="54">
      <c r="A54" t="inlineStr">
        <is>
          <t>aws_fargate_vcpu</t>
        </is>
      </c>
      <c r="B54" t="inlineStr">
        <is>
          <t>eu-south-2</t>
        </is>
      </c>
      <c r="C54" t="n">
        <v>0.046552</v>
      </c>
      <c r="D54" t="inlineStr">
        <is>
          <t>hours</t>
        </is>
      </c>
      <c r="E54" t="inlineStr">
        <is>
          <t>EUS2-Fargate-vCPU-Hours:perCPU</t>
        </is>
      </c>
      <c r="F54" t="inlineStr">
        <is>
          <t>UMRZEYF8C2H5Z9XQ</t>
        </is>
      </c>
      <c r="G54" t="inlineStr">
        <is>
          <t>AmazonECS</t>
        </is>
      </c>
      <c r="H54" t="inlineStr">
        <is>
          <t>2026-10-24</t>
        </is>
      </c>
      <c r="I54" s="34" t="inlineStr">
        <is>
          <t>https://pricing.us-east-1.amazonaws.com/offers/v1.0/aws/AmazonECS/current/eu-south-2/index.json</t>
        </is>
      </c>
    </row>
    <row r="55">
      <c r="A55" t="inlineStr">
        <is>
          <t>aws_fargate_gb</t>
        </is>
      </c>
      <c r="B55" t="inlineStr">
        <is>
          <t>us-east-1</t>
        </is>
      </c>
      <c r="C55" t="n">
        <v>0.004445</v>
      </c>
      <c r="D55" t="inlineStr">
        <is>
          <t>hours</t>
        </is>
      </c>
      <c r="E55" t="inlineStr">
        <is>
          <t>USE1-Fargate-GB-Hours</t>
        </is>
      </c>
      <c r="F55" t="inlineStr">
        <is>
          <t>PBZNQUSEXZUC34C9</t>
        </is>
      </c>
      <c r="G55" t="inlineStr">
        <is>
          <t>AmazonECS</t>
        </is>
      </c>
      <c r="H55" t="inlineStr">
        <is>
          <t>2026-10-24</t>
        </is>
      </c>
      <c r="I55" s="34" t="inlineStr">
        <is>
          <t>https://pricing.us-east-1.amazonaws.com/offers/v1.0/aws/AmazonECS/current/us-east-1/index.json</t>
        </is>
      </c>
    </row>
    <row r="56">
      <c r="A56" t="inlineStr">
        <is>
          <t>aws_fargate_gb</t>
        </is>
      </c>
      <c r="B56" t="inlineStr">
        <is>
          <t>eu-south-2</t>
        </is>
      </c>
      <c r="C56" t="n">
        <v>0.005112</v>
      </c>
      <c r="D56" t="inlineStr">
        <is>
          <t>hours</t>
        </is>
      </c>
      <c r="E56" t="inlineStr">
        <is>
          <t>EUS2-Fargate-GB-Hours</t>
        </is>
      </c>
      <c r="F56" t="inlineStr">
        <is>
          <t>369RDUVMT5DP6PJT</t>
        </is>
      </c>
      <c r="G56" t="inlineStr">
        <is>
          <t>AmazonECS</t>
        </is>
      </c>
      <c r="H56" t="inlineStr">
        <is>
          <t>2026-10-24</t>
        </is>
      </c>
      <c r="I56" s="34" t="inlineStr">
        <is>
          <t>https://pricing.us-east-1.amazonaws.com/offers/v1.0/aws/AmazonECS/current/eu-south-2/index.json</t>
        </is>
      </c>
    </row>
    <row r="57">
      <c r="A57" t="inlineStr">
        <is>
          <t>aws_alb_hr</t>
        </is>
      </c>
      <c r="B57" t="inlineStr">
        <is>
          <t>us-east-1</t>
        </is>
      </c>
      <c r="C57" t="n">
        <v>0.0225</v>
      </c>
      <c r="D57" t="inlineStr">
        <is>
          <t>Hrs</t>
        </is>
      </c>
      <c r="E57" t="inlineStr">
        <is>
          <t>LoadBalancerUsage</t>
        </is>
      </c>
      <c r="F57" t="inlineStr">
        <is>
          <t>37CUWUT8GSNQEPUV</t>
        </is>
      </c>
      <c r="G57" t="inlineStr">
        <is>
          <t>AWSELB</t>
        </is>
      </c>
      <c r="H57" t="inlineStr">
        <is>
          <t>2026-10-24</t>
        </is>
      </c>
      <c r="I57" s="34" t="inlineStr">
        <is>
          <t>https://pricing.us-east-1.amazonaws.com/offers/v1.0/aws/AWSELB/current/us-east-1/index.json</t>
        </is>
      </c>
    </row>
    <row r="58">
      <c r="A58" t="inlineStr">
        <is>
          <t>aws_alb_hr</t>
        </is>
      </c>
      <c r="B58" t="inlineStr">
        <is>
          <t>eu-south-2</t>
        </is>
      </c>
      <c r="C58" t="n">
        <v>0.0252</v>
      </c>
      <c r="D58" t="inlineStr">
        <is>
          <t>Hrs</t>
        </is>
      </c>
      <c r="E58" t="inlineStr">
        <is>
          <t>EUS2-LoadBalancerUsage</t>
        </is>
      </c>
      <c r="F58" t="inlineStr">
        <is>
          <t>X8MXE2X46RMCT7M6</t>
        </is>
      </c>
      <c r="G58" t="inlineStr">
        <is>
          <t>AWSELB</t>
        </is>
      </c>
      <c r="H58" t="inlineStr">
        <is>
          <t>2026-10-24</t>
        </is>
      </c>
      <c r="I58" s="34" t="inlineStr">
        <is>
          <t>https://pricing.us-east-1.amazonaws.com/offers/v1.0/aws/AWSELB/current/eu-south-2/index.json</t>
        </is>
      </c>
    </row>
    <row r="59">
      <c r="A59" t="inlineStr">
        <is>
          <t>aws_alb_lcu</t>
        </is>
      </c>
      <c r="B59" t="inlineStr">
        <is>
          <t>us-east-1</t>
        </is>
      </c>
      <c r="C59" t="n">
        <v>0.008</v>
      </c>
      <c r="D59" t="inlineStr">
        <is>
          <t>LCU-Hrs</t>
        </is>
      </c>
      <c r="E59" t="inlineStr">
        <is>
          <t>LCUUsage</t>
        </is>
      </c>
      <c r="F59" t="inlineStr">
        <is>
          <t>P2XGEJ8N3KU52WA8</t>
        </is>
      </c>
      <c r="G59" t="inlineStr">
        <is>
          <t>AWSELB</t>
        </is>
      </c>
      <c r="H59" t="inlineStr">
        <is>
          <t>2026-10-24</t>
        </is>
      </c>
      <c r="I59" s="34" t="inlineStr">
        <is>
          <t>https://pricing.us-east-1.amazonaws.com/offers/v1.0/aws/AWSELB/current/us-east-1/index.json</t>
        </is>
      </c>
    </row>
    <row r="60">
      <c r="A60" t="inlineStr">
        <is>
          <t>aws_alb_lcu</t>
        </is>
      </c>
      <c r="B60" t="inlineStr">
        <is>
          <t>eu-south-2</t>
        </is>
      </c>
      <c r="C60" t="n">
        <v>0.008</v>
      </c>
      <c r="D60" t="inlineStr">
        <is>
          <t>LCU-Hrs</t>
        </is>
      </c>
      <c r="E60" t="inlineStr">
        <is>
          <t>EUS2-LCUUsage</t>
        </is>
      </c>
      <c r="F60" t="inlineStr">
        <is>
          <t>WGNWCMFBZX9VQX86</t>
        </is>
      </c>
      <c r="G60" t="inlineStr">
        <is>
          <t>AWSELB</t>
        </is>
      </c>
      <c r="H60" t="inlineStr">
        <is>
          <t>2026-10-24</t>
        </is>
      </c>
      <c r="I60" s="34" t="inlineStr">
        <is>
          <t>https://pricing.us-east-1.amazonaws.com/offers/v1.0/aws/AWSELB/current/eu-south-2/index.json</t>
        </is>
      </c>
    </row>
    <row r="61">
      <c r="A61" t="inlineStr">
        <is>
          <t>aws_vpce_hr</t>
        </is>
      </c>
      <c r="B61" t="inlineStr">
        <is>
          <t>us-east-1</t>
        </is>
      </c>
      <c r="C61" t="n">
        <v>0.01</v>
      </c>
      <c r="D61" t="inlineStr">
        <is>
          <t>Hrs</t>
        </is>
      </c>
      <c r="E61" t="inlineStr">
        <is>
          <t>USE1-VpcEndpoint-Hours</t>
        </is>
      </c>
      <c r="F61" t="inlineStr">
        <is>
          <t>EN2N5TATXE673A3B</t>
        </is>
      </c>
      <c r="G61" t="inlineStr">
        <is>
          <t>AmazonVPC</t>
        </is>
      </c>
      <c r="H61" t="inlineStr">
        <is>
          <t>2026-10-24</t>
        </is>
      </c>
      <c r="I61" s="34" t="inlineStr">
        <is>
          <t>https://pricing.us-east-1.amazonaws.com/offers/v1.0/aws/AmazonVPC/current/us-east-1/index.json</t>
        </is>
      </c>
    </row>
    <row r="62">
      <c r="A62" t="inlineStr">
        <is>
          <t>aws_vpce_hr</t>
        </is>
      </c>
      <c r="B62" t="inlineStr">
        <is>
          <t>eu-south-2</t>
        </is>
      </c>
      <c r="C62" t="n">
        <v>0.011</v>
      </c>
      <c r="D62" t="inlineStr">
        <is>
          <t>Hrs</t>
        </is>
      </c>
      <c r="E62" t="inlineStr">
        <is>
          <t>EUS2-VpcEndpoint-Hours</t>
        </is>
      </c>
      <c r="F62" t="inlineStr">
        <is>
          <t>3NMF7YF6PPAG9EMU</t>
        </is>
      </c>
      <c r="G62" t="inlineStr">
        <is>
          <t>AmazonVPC</t>
        </is>
      </c>
      <c r="H62" t="inlineStr">
        <is>
          <t>2026-10-24</t>
        </is>
      </c>
      <c r="I62" s="34" t="inlineStr">
        <is>
          <t>https://pricing.us-east-1.amazonaws.com/offers/v1.0/aws/AmazonVPC/current/eu-south-2/index.json</t>
        </is>
      </c>
    </row>
    <row r="63">
      <c r="A63" t="inlineStr">
        <is>
          <t>aws_ecr</t>
        </is>
      </c>
      <c r="B63" t="inlineStr">
        <is>
          <t>us-east-1</t>
        </is>
      </c>
      <c r="C63" t="n">
        <v>0.1</v>
      </c>
      <c r="D63" t="inlineStr">
        <is>
          <t>GB-Mo</t>
        </is>
      </c>
      <c r="E63" t="inlineStr">
        <is>
          <t>TimedStorage-ByteHrs</t>
        </is>
      </c>
      <c r="F63" t="inlineStr">
        <is>
          <t>KJC988R4J65BDMTQ</t>
        </is>
      </c>
      <c r="G63" t="inlineStr">
        <is>
          <t>AmazonECR</t>
        </is>
      </c>
      <c r="H63" t="inlineStr">
        <is>
          <t>2026-10-24</t>
        </is>
      </c>
      <c r="I63" s="34" t="inlineStr">
        <is>
          <t>https://pricing.us-east-1.amazonaws.com/offers/v1.0/aws/AmazonECR/current/us-east-1/index.json</t>
        </is>
      </c>
    </row>
    <row r="64">
      <c r="A64" t="inlineStr">
        <is>
          <t>aws_ecr</t>
        </is>
      </c>
      <c r="B64" t="inlineStr">
        <is>
          <t>eu-south-2</t>
        </is>
      </c>
      <c r="C64" t="n">
        <v>0.1</v>
      </c>
      <c r="D64" t="inlineStr">
        <is>
          <t>GB-Mo</t>
        </is>
      </c>
      <c r="E64" t="inlineStr">
        <is>
          <t>EUS2-TimedStorage-ByteHrs</t>
        </is>
      </c>
      <c r="F64" t="inlineStr">
        <is>
          <t>29AGJ4R54J9EFSMR</t>
        </is>
      </c>
      <c r="G64" t="inlineStr">
        <is>
          <t>AmazonECR</t>
        </is>
      </c>
      <c r="H64" t="inlineStr">
        <is>
          <t>2026-10-24</t>
        </is>
      </c>
      <c r="I64" s="34" t="inlineStr">
        <is>
          <t>https://pricing.us-east-1.amazonaws.com/offers/v1.0/aws/AmazonECR/current/eu-south-2/index.json</t>
        </is>
      </c>
    </row>
    <row r="65">
      <c r="A65" t="inlineStr">
        <is>
          <t>aws_sm_train</t>
        </is>
      </c>
      <c r="B65" t="inlineStr">
        <is>
          <t>us-east-1</t>
        </is>
      </c>
      <c r="C65" t="n">
        <v>0.115</v>
      </c>
      <c r="D65" t="inlineStr">
        <is>
          <t>Hrs</t>
        </is>
      </c>
      <c r="E65" t="inlineStr">
        <is>
          <t>USE1-Train:ml.m5.large</t>
        </is>
      </c>
      <c r="F65" t="inlineStr">
        <is>
          <t>JMCWJEAPVJNFJ5P4</t>
        </is>
      </c>
      <c r="G65" t="inlineStr">
        <is>
          <t>AmazonSageMaker</t>
        </is>
      </c>
      <c r="H65" t="inlineStr">
        <is>
          <t>2026-10-24</t>
        </is>
      </c>
      <c r="I65" s="34" t="inlineStr">
        <is>
          <t>https://pricing.us-east-1.amazonaws.com/offers/v1.0/aws/AmazonSageMaker/current/us-east-1/index.json</t>
        </is>
      </c>
    </row>
    <row r="66">
      <c r="A66" t="inlineStr">
        <is>
          <t>aws_sm_train</t>
        </is>
      </c>
      <c r="B66" t="inlineStr">
        <is>
          <t>eu-south-2</t>
        </is>
      </c>
      <c r="C66" t="n">
        <v>0.128</v>
      </c>
      <c r="D66" t="inlineStr">
        <is>
          <t>Hrs</t>
        </is>
      </c>
      <c r="E66" t="inlineStr">
        <is>
          <t>EUS2-Train:ml.m5.large</t>
        </is>
      </c>
      <c r="F66" t="inlineStr">
        <is>
          <t>3D652Q54QPCVPDR4</t>
        </is>
      </c>
      <c r="G66" t="inlineStr">
        <is>
          <t>AmazonSageMaker</t>
        </is>
      </c>
      <c r="H66" t="inlineStr">
        <is>
          <t>2026-10-24</t>
        </is>
      </c>
      <c r="I66" s="34" t="inlineStr">
        <is>
          <t>https://pricing.us-east-1.amazonaws.com/offers/v1.0/aws/AmazonSageMaker/current/eu-south-2/index.json</t>
        </is>
      </c>
    </row>
    <row r="67">
      <c r="A67" t="inlineStr">
        <is>
          <t>aws_aurora_acu</t>
        </is>
      </c>
      <c r="B67" t="inlineStr">
        <is>
          <t>us-east-1</t>
        </is>
      </c>
      <c r="C67" t="n">
        <v>0.12</v>
      </c>
      <c r="D67" t="inlineStr">
        <is>
          <t>ACU-Hr</t>
        </is>
      </c>
      <c r="E67" t="inlineStr">
        <is>
          <t>Aurora:ServerlessV2Usage</t>
        </is>
      </c>
      <c r="F67" t="inlineStr">
        <is>
          <t>AVKW7ZJP8D72HNQC</t>
        </is>
      </c>
      <c r="G67" t="inlineStr">
        <is>
          <t>AmazonRDS</t>
        </is>
      </c>
      <c r="H67" t="inlineStr">
        <is>
          <t>2026-10-24</t>
        </is>
      </c>
      <c r="I67" s="34" t="inlineStr">
        <is>
          <t>https://pricing.us-east-1.amazonaws.com/offers/v1.0/aws/AmazonRDS/current/us-east-1/index.json</t>
        </is>
      </c>
    </row>
    <row r="68">
      <c r="A68" t="inlineStr">
        <is>
          <t>aws_aurora_acu</t>
        </is>
      </c>
      <c r="B68" t="inlineStr">
        <is>
          <t>eu-south-2</t>
        </is>
      </c>
      <c r="C68" t="n">
        <v>0.14</v>
      </c>
      <c r="D68" t="inlineStr">
        <is>
          <t>ACU-Hr</t>
        </is>
      </c>
      <c r="E68" t="inlineStr">
        <is>
          <t>EUS2-Aurora:ServerlessV2Usage</t>
        </is>
      </c>
      <c r="F68" t="inlineStr">
        <is>
          <t>M63JJ3UCCQHZND64</t>
        </is>
      </c>
      <c r="G68" t="inlineStr">
        <is>
          <t>AmazonRDS</t>
        </is>
      </c>
      <c r="H68" t="inlineStr">
        <is>
          <t>2026-10-24</t>
        </is>
      </c>
      <c r="I68" s="34" t="inlineStr">
        <is>
          <t>https://pricing.us-east-1.amazonaws.com/offers/v1.0/aws/AmazonRDS/current/eu-south-2/index.json</t>
        </is>
      </c>
    </row>
    <row r="69">
      <c r="A69" t="inlineStr">
        <is>
          <t>aws_aurora_storage</t>
        </is>
      </c>
      <c r="B69" t="inlineStr">
        <is>
          <t>us-east-1</t>
        </is>
      </c>
      <c r="C69" t="n">
        <v>0.1</v>
      </c>
      <c r="D69" t="inlineStr">
        <is>
          <t>GB-Mo</t>
        </is>
      </c>
      <c r="E69" t="inlineStr">
        <is>
          <t>Aurora:StorageUsage</t>
        </is>
      </c>
      <c r="F69" t="inlineStr">
        <is>
          <t>7GYUVAA992PFJPCB</t>
        </is>
      </c>
      <c r="G69" t="inlineStr">
        <is>
          <t>AmazonRDS</t>
        </is>
      </c>
      <c r="H69" t="inlineStr">
        <is>
          <t>2026-10-24</t>
        </is>
      </c>
      <c r="I69" s="34" t="inlineStr">
        <is>
          <t>https://pricing.us-east-1.amazonaws.com/offers/v1.0/aws/AmazonRDS/current/us-east-1/index.json</t>
        </is>
      </c>
    </row>
    <row r="70">
      <c r="A70" t="inlineStr">
        <is>
          <t>aws_aurora_storage</t>
        </is>
      </c>
      <c r="B70" t="inlineStr">
        <is>
          <t>eu-south-2</t>
        </is>
      </c>
      <c r="C70" t="n">
        <v>0.11</v>
      </c>
      <c r="D70" t="inlineStr">
        <is>
          <t>GB-Mo</t>
        </is>
      </c>
      <c r="E70" t="inlineStr">
        <is>
          <t>EUS2-Aurora:StorageUsage</t>
        </is>
      </c>
      <c r="F70" t="inlineStr">
        <is>
          <t>68YHH2HPS7QWGBZY</t>
        </is>
      </c>
      <c r="G70" t="inlineStr">
        <is>
          <t>AmazonRDS</t>
        </is>
      </c>
      <c r="H70" t="inlineStr">
        <is>
          <t>2026-10-24</t>
        </is>
      </c>
      <c r="I70" s="34" t="inlineStr">
        <is>
          <t>https://pricing.us-east-1.amazonaws.com/offers/v1.0/aws/AmazonRDS/current/eu-south-2/index.json</t>
        </is>
      </c>
    </row>
    <row r="71">
      <c r="A71" t="inlineStr">
        <is>
          <t>aws_s3_std</t>
        </is>
      </c>
      <c r="B71" t="inlineStr">
        <is>
          <t>us-east-1</t>
        </is>
      </c>
      <c r="C71" t="n">
        <v>0.023</v>
      </c>
      <c r="D71" t="inlineStr">
        <is>
          <t>GB-Mo</t>
        </is>
      </c>
      <c r="E71" t="inlineStr">
        <is>
          <t>TimedStorage-ByteHrs</t>
        </is>
      </c>
      <c r="F71" t="inlineStr">
        <is>
          <t>WP9ANXZGBYYSGJEA</t>
        </is>
      </c>
      <c r="G71" t="inlineStr">
        <is>
          <t>AmazonS3</t>
        </is>
      </c>
      <c r="H71" t="inlineStr">
        <is>
          <t>2026-10-24</t>
        </is>
      </c>
      <c r="I71" s="34" t="inlineStr">
        <is>
          <t>https://pricing.us-east-1.amazonaws.com/offers/v1.0/aws/AmazonS3/current/us-east-1/index.json</t>
        </is>
      </c>
    </row>
    <row r="72">
      <c r="A72" t="inlineStr">
        <is>
          <t>aws_s3_std</t>
        </is>
      </c>
      <c r="B72" t="inlineStr">
        <is>
          <t>eu-south-2</t>
        </is>
      </c>
      <c r="C72" t="n">
        <v>0.023</v>
      </c>
      <c r="D72" t="inlineStr">
        <is>
          <t>GB-Mo</t>
        </is>
      </c>
      <c r="E72" t="inlineStr">
        <is>
          <t>EUS2-TimedStorage-ByteHrs</t>
        </is>
      </c>
      <c r="F72" t="inlineStr">
        <is>
          <t>J4G6TDWKTHGQ4EUR</t>
        </is>
      </c>
      <c r="G72" t="inlineStr">
        <is>
          <t>AmazonS3</t>
        </is>
      </c>
      <c r="H72" t="inlineStr">
        <is>
          <t>2026-10-24</t>
        </is>
      </c>
      <c r="I72" s="34" t="inlineStr">
        <is>
          <t>https://pricing.us-east-1.amazonaws.com/offers/v1.0/aws/AmazonS3/current/eu-south-2/index.json</t>
        </is>
      </c>
    </row>
    <row r="73">
      <c r="A73" t="inlineStr">
        <is>
          <t>aws_s3_ia</t>
        </is>
      </c>
      <c r="B73" t="inlineStr">
        <is>
          <t>us-east-1</t>
        </is>
      </c>
      <c r="C73" t="n">
        <v>0.0125</v>
      </c>
      <c r="D73" t="inlineStr">
        <is>
          <t>GB-Mo</t>
        </is>
      </c>
      <c r="E73" t="inlineStr">
        <is>
          <t>TimedStorage-SIA-ByteHrs</t>
        </is>
      </c>
      <c r="F73" t="inlineStr">
        <is>
          <t>379GYJUQ5WFBUYGM</t>
        </is>
      </c>
      <c r="G73" t="inlineStr">
        <is>
          <t>AmazonS3</t>
        </is>
      </c>
      <c r="H73" t="inlineStr">
        <is>
          <t>2026-10-24</t>
        </is>
      </c>
      <c r="I73" s="34" t="inlineStr">
        <is>
          <t>https://pricing.us-east-1.amazonaws.com/offers/v1.0/aws/AmazonS3/current/us-east-1/index.json</t>
        </is>
      </c>
    </row>
    <row r="74">
      <c r="A74" t="inlineStr">
        <is>
          <t>aws_s3_ia</t>
        </is>
      </c>
      <c r="B74" t="inlineStr">
        <is>
          <t>eu-south-2</t>
        </is>
      </c>
      <c r="C74" t="n">
        <v>0.0125</v>
      </c>
      <c r="D74" t="inlineStr">
        <is>
          <t>GB-Mo</t>
        </is>
      </c>
      <c r="E74" t="inlineStr">
        <is>
          <t>EUS2-TimedStorage-SIA-ByteHrs</t>
        </is>
      </c>
      <c r="F74" t="inlineStr">
        <is>
          <t>2NYZ5553SJU7CCG3</t>
        </is>
      </c>
      <c r="G74" t="inlineStr">
        <is>
          <t>AmazonS3</t>
        </is>
      </c>
      <c r="H74" t="inlineStr">
        <is>
          <t>2026-10-24</t>
        </is>
      </c>
      <c r="I74" s="34" t="inlineStr">
        <is>
          <t>https://pricing.us-east-1.amazonaws.com/offers/v1.0/aws/AmazonS3/current/eu-south-2/index.json</t>
        </is>
      </c>
    </row>
    <row r="75">
      <c r="A75" t="inlineStr">
        <is>
          <t>aws_s3_gda</t>
        </is>
      </c>
      <c r="B75" t="inlineStr">
        <is>
          <t>us-east-1</t>
        </is>
      </c>
      <c r="C75" t="n">
        <v>0.00099</v>
      </c>
      <c r="D75" t="inlineStr">
        <is>
          <t>GB-Mo</t>
        </is>
      </c>
      <c r="E75" t="inlineStr">
        <is>
          <t>TimedStorage-GDA-ByteHrs</t>
        </is>
      </c>
      <c r="F75" t="inlineStr">
        <is>
          <t>SKAKWE8C8SPXCVHA</t>
        </is>
      </c>
      <c r="G75" t="inlineStr">
        <is>
          <t>AmazonS3GlacierDeepArchive</t>
        </is>
      </c>
      <c r="H75" t="inlineStr">
        <is>
          <t>2026-10-24</t>
        </is>
      </c>
      <c r="I75" s="34" t="inlineStr">
        <is>
          <t>https://pricing.us-east-1.amazonaws.com/offers/v1.0/aws/AmazonS3GlacierDeepArchive/current/us-east-1/index.json</t>
        </is>
      </c>
    </row>
    <row r="76">
      <c r="A76" t="inlineStr">
        <is>
          <t>aws_s3_gda</t>
        </is>
      </c>
      <c r="B76" t="inlineStr">
        <is>
          <t>eu-south-2</t>
        </is>
      </c>
      <c r="C76" t="n">
        <v>0.0018</v>
      </c>
      <c r="D76" t="inlineStr">
        <is>
          <t>GB-Mo</t>
        </is>
      </c>
      <c r="E76" t="inlineStr">
        <is>
          <t>EUS2-TimedStorage-GDA-ByteHrs</t>
        </is>
      </c>
      <c r="F76" t="inlineStr">
        <is>
          <t>W2GJ4KRSD4ADCY35</t>
        </is>
      </c>
      <c r="G76" t="inlineStr">
        <is>
          <t>AmazonS3GlacierDeepArchive</t>
        </is>
      </c>
      <c r="H76" t="inlineStr">
        <is>
          <t>2026-10-24</t>
        </is>
      </c>
      <c r="I76" s="34" t="inlineStr">
        <is>
          <t>https://pricing.us-east-1.amazonaws.com/offers/v1.0/aws/AmazonS3GlacierDeepArchive/current/eu-south-2/index.json</t>
        </is>
      </c>
    </row>
    <row r="77">
      <c r="A77" t="inlineStr">
        <is>
          <t>aws_iot_msg</t>
        </is>
      </c>
      <c r="B77" t="inlineStr">
        <is>
          <t>us-east-1</t>
        </is>
      </c>
      <c r="C77" t="n">
        <v>1e-06</v>
      </c>
      <c r="D77" t="inlineStr">
        <is>
          <t>Messages</t>
        </is>
      </c>
      <c r="E77" t="inlineStr">
        <is>
          <t>USE1-Messages</t>
        </is>
      </c>
      <c r="F77" t="inlineStr">
        <is>
          <t>PP8GRQ49FFR7BUDX</t>
        </is>
      </c>
      <c r="G77" t="inlineStr">
        <is>
          <t>AWSIoT</t>
        </is>
      </c>
      <c r="H77" t="inlineStr">
        <is>
          <t>2026-10-24</t>
        </is>
      </c>
      <c r="I77" s="34" t="inlineStr">
        <is>
          <t>https://pricing.us-east-1.amazonaws.com/offers/v1.0/aws/AWSIoT/current/us-east-1/index.json</t>
        </is>
      </c>
    </row>
    <row r="78">
      <c r="A78" t="inlineStr">
        <is>
          <t>aws_iot_msg</t>
        </is>
      </c>
      <c r="B78" t="inlineStr">
        <is>
          <t>eu-south-2</t>
        </is>
      </c>
      <c r="C78" t="n">
        <v>1e-06</v>
      </c>
      <c r="D78" t="inlineStr">
        <is>
          <t>Messages</t>
        </is>
      </c>
      <c r="E78" t="inlineStr">
        <is>
          <t>EUS2-Messages</t>
        </is>
      </c>
      <c r="F78" t="inlineStr">
        <is>
          <t>J7PFFDKT8JUUSRPA</t>
        </is>
      </c>
      <c r="G78" t="inlineStr">
        <is>
          <t>AWSIoT</t>
        </is>
      </c>
      <c r="H78" t="inlineStr">
        <is>
          <t>2026-10-24</t>
        </is>
      </c>
      <c r="I78" s="34" t="inlineStr">
        <is>
          <t>https://pricing.us-east-1.amazonaws.com/offers/v1.0/aws/AWSIoT/current/eu-south-2/index.json</t>
        </is>
      </c>
    </row>
    <row r="79">
      <c r="A79" t="inlineStr">
        <is>
          <t>aws_iot_conn</t>
        </is>
      </c>
      <c r="B79" t="inlineStr">
        <is>
          <t>us-east-1</t>
        </is>
      </c>
      <c r="C79" t="n">
        <v>8e-08</v>
      </c>
      <c r="D79" t="inlineStr">
        <is>
          <t>Minutes</t>
        </is>
      </c>
      <c r="E79" t="inlineStr">
        <is>
          <t>USE1-ConnectionMinutes</t>
        </is>
      </c>
      <c r="F79" t="inlineStr">
        <is>
          <t>88HVJW32F8EF6KYG</t>
        </is>
      </c>
      <c r="G79" t="inlineStr">
        <is>
          <t>AWSIoT</t>
        </is>
      </c>
      <c r="H79" t="inlineStr">
        <is>
          <t>2026-10-24</t>
        </is>
      </c>
      <c r="I79" s="34" t="inlineStr">
        <is>
          <t>https://pricing.us-east-1.amazonaws.com/offers/v1.0/aws/AWSIoT/current/us-east-1/index.json</t>
        </is>
      </c>
    </row>
    <row r="80">
      <c r="A80" t="inlineStr">
        <is>
          <t>aws_iot_conn</t>
        </is>
      </c>
      <c r="B80" t="inlineStr">
        <is>
          <t>eu-south-2</t>
        </is>
      </c>
      <c r="C80" t="n">
        <v>8e-08</v>
      </c>
      <c r="D80" t="inlineStr">
        <is>
          <t>Minutes</t>
        </is>
      </c>
      <c r="E80" t="inlineStr">
        <is>
          <t>EUS2-ConnectionMinutes</t>
        </is>
      </c>
      <c r="F80" t="inlineStr">
        <is>
          <t>NERKD5RA9ZSC3BZZ</t>
        </is>
      </c>
      <c r="G80" t="inlineStr">
        <is>
          <t>AWSIoT</t>
        </is>
      </c>
      <c r="H80" t="inlineStr">
        <is>
          <t>2026-10-24</t>
        </is>
      </c>
      <c r="I80" s="34" t="inlineStr">
        <is>
          <t>https://pricing.us-east-1.amazonaws.com/offers/v1.0/aws/AWSIoT/current/eu-south-2/index.json</t>
        </is>
      </c>
    </row>
    <row r="81">
      <c r="A81" t="inlineStr">
        <is>
          <t>aws_greengrass</t>
        </is>
      </c>
      <c r="B81" t="inlineStr">
        <is>
          <t>us-east-1</t>
        </is>
      </c>
      <c r="C81" t="n">
        <v>0.16</v>
      </c>
      <c r="D81" t="inlineStr">
        <is>
          <t>Active-GGC-Devices</t>
        </is>
      </c>
      <c r="E81" t="inlineStr">
        <is>
          <t>USE1-ActiveGGC-Devices</t>
        </is>
      </c>
      <c r="F81" t="inlineStr">
        <is>
          <t>H4UXPATZVM7F6RYF</t>
        </is>
      </c>
      <c r="G81" t="inlineStr">
        <is>
          <t>AWSGreengrass</t>
        </is>
      </c>
      <c r="H81" t="inlineStr">
        <is>
          <t>2026-10-24</t>
        </is>
      </c>
      <c r="I81" s="34" t="inlineStr">
        <is>
          <t>https://pricing.us-east-1.amazonaws.com/offers/v1.0/aws/AWSGreengrass/current/us-east-1/index.json</t>
        </is>
      </c>
    </row>
    <row r="82">
      <c r="A82" t="inlineStr">
        <is>
          <t>aws_greengrass</t>
        </is>
      </c>
      <c r="B82" t="inlineStr">
        <is>
          <t>eu-south-2</t>
        </is>
      </c>
      <c r="C82" t="n">
        <v>0.18</v>
      </c>
      <c r="D82" t="inlineStr">
        <is>
          <t>Active-GGC-Devices</t>
        </is>
      </c>
      <c r="E82" t="inlineStr">
        <is>
          <t>EUS2-ActiveGGC-Devices</t>
        </is>
      </c>
      <c r="F82" t="inlineStr">
        <is>
          <t>T4QMAKFBHKPY5QVN</t>
        </is>
      </c>
      <c r="G82" t="inlineStr">
        <is>
          <t>AWSGreengrass</t>
        </is>
      </c>
      <c r="H82" t="inlineStr">
        <is>
          <t>2026-10-24</t>
        </is>
      </c>
      <c r="I82" s="34" t="inlineStr">
        <is>
          <t>https://pricing.us-east-1.amazonaws.com/offers/v1.0/aws/AWSGreengrass/current/eu-south-2/index.json</t>
        </is>
      </c>
    </row>
    <row r="83">
      <c r="A83" t="inlineStr">
        <is>
          <t>aws_secrets</t>
        </is>
      </c>
      <c r="B83" t="inlineStr">
        <is>
          <t>us-east-1</t>
        </is>
      </c>
      <c r="C83" t="n">
        <v>0.4</v>
      </c>
      <c r="D83" t="inlineStr">
        <is>
          <t>Secrets</t>
        </is>
      </c>
      <c r="E83" t="inlineStr">
        <is>
          <t>USE1-AWSSecretsManager-Secrets</t>
        </is>
      </c>
      <c r="F83" t="inlineStr">
        <is>
          <t>BJ3PQ9BYGU6P632F</t>
        </is>
      </c>
      <c r="G83" t="inlineStr">
        <is>
          <t>AWSSecretsManager</t>
        </is>
      </c>
      <c r="H83" t="inlineStr">
        <is>
          <t>2026-10-24</t>
        </is>
      </c>
      <c r="I83" s="34" t="inlineStr">
        <is>
          <t>https://pricing.us-east-1.amazonaws.com/offers/v1.0/aws/AWSSecretsManager/current/us-east-1/index.json</t>
        </is>
      </c>
    </row>
    <row r="84">
      <c r="A84" t="inlineStr">
        <is>
          <t>aws_secrets</t>
        </is>
      </c>
      <c r="B84" t="inlineStr">
        <is>
          <t>eu-south-2</t>
        </is>
      </c>
      <c r="C84" t="n">
        <v>0.4</v>
      </c>
      <c r="D84" t="inlineStr">
        <is>
          <t>Secrets</t>
        </is>
      </c>
      <c r="E84" t="inlineStr">
        <is>
          <t>EUS2-AWSSecretsManager-Secrets</t>
        </is>
      </c>
      <c r="F84" t="inlineStr">
        <is>
          <t>XUMB6X2XZZXRSFJS</t>
        </is>
      </c>
      <c r="G84" t="inlineStr">
        <is>
          <t>AWSSecretsManager</t>
        </is>
      </c>
      <c r="H84" t="inlineStr">
        <is>
          <t>2026-10-24</t>
        </is>
      </c>
      <c r="I84" s="34" t="inlineStr">
        <is>
          <t>https://pricing.us-east-1.amazonaws.com/offers/v1.0/aws/AWSSecretsManager/current/eu-south-2/index.json</t>
        </is>
      </c>
    </row>
    <row r="85">
      <c r="A85" t="inlineStr">
        <is>
          <t>aws_cw_logs</t>
        </is>
      </c>
      <c r="B85" t="inlineStr">
        <is>
          <t>us-east-1</t>
        </is>
      </c>
      <c r="C85" t="n">
        <v>0.5</v>
      </c>
      <c r="D85" t="inlineStr">
        <is>
          <t>GB</t>
        </is>
      </c>
      <c r="E85" t="inlineStr">
        <is>
          <t>USE1-DataProcessing-Bytes</t>
        </is>
      </c>
      <c r="F85" t="inlineStr">
        <is>
          <t>S8QGXX5R2BKKMDSJ</t>
        </is>
      </c>
      <c r="G85" t="inlineStr">
        <is>
          <t>AmazonCloudWatch</t>
        </is>
      </c>
      <c r="H85" t="inlineStr">
        <is>
          <t>2026-10-24</t>
        </is>
      </c>
      <c r="I85" s="34" t="inlineStr">
        <is>
          <t>https://pricing.us-east-1.amazonaws.com/offers/v1.0/aws/AmazonCloudWatch/current/us-east-1/index.json</t>
        </is>
      </c>
    </row>
    <row r="86">
      <c r="A86" t="inlineStr">
        <is>
          <t>aws_cw_logs</t>
        </is>
      </c>
      <c r="B86" t="inlineStr">
        <is>
          <t>eu-south-2</t>
        </is>
      </c>
      <c r="C86" t="n">
        <v>0.57</v>
      </c>
      <c r="D86" t="inlineStr">
        <is>
          <t>GB</t>
        </is>
      </c>
      <c r="E86" t="inlineStr">
        <is>
          <t>EUS2-DataProcessing-Bytes</t>
        </is>
      </c>
      <c r="F86" t="inlineStr">
        <is>
          <t>RB6JKDQ5NE5HFZP4</t>
        </is>
      </c>
      <c r="G86" t="inlineStr">
        <is>
          <t>AmazonCloudWatch</t>
        </is>
      </c>
      <c r="H86" t="inlineStr">
        <is>
          <t>2026-10-24</t>
        </is>
      </c>
      <c r="I86" s="34" t="inlineStr">
        <is>
          <t>https://pricing.us-east-1.amazonaws.com/offers/v1.0/aws/AmazonCloudWatch/current/eu-south-2/index.json</t>
        </is>
      </c>
    </row>
    <row r="88">
      <c r="A88" s="22" t="inlineStr">
        <is>
          <t>Método</t>
        </is>
      </c>
      <c r="B88" t="inlineStr">
        <is>
          <t>Precio unitario × cantidad mensual × incluir. Precios de lista sin descuentos (EA/MACC/EDP), sin reservas ni impuestos.</t>
        </is>
      </c>
    </row>
    <row r="89">
      <c r="A89" s="22" t="inlineStr">
        <is>
          <t>Estimados</t>
        </is>
      </c>
      <c r="B89" t="inlineStr">
        <is>
          <t>Bedrock (Claude Haiku 4.5 $1/$5 y Sonnet 4.5 $3/$15 por 1M tokens según https://aws.amazon.com/bedrock/pricing/), NAT Gateway, GuardDuty, SSM, Private Endpoints de PaaS en Azure, Defender for Storage, transacciones de almacenamiento.</t>
        </is>
      </c>
    </row>
    <row r="90">
      <c r="A90" s="22" t="inlineStr">
        <is>
          <t>Limitaciones</t>
        </is>
      </c>
      <c r="B90" t="inlineStr">
        <is>
          <t>No incluye egress de red, soporte (Developer/Business), ni licencias corporativas existentes.</t>
        </is>
      </c>
    </row>
    <row r="91">
      <c r="A91" s="22" t="inlineStr">
        <is>
          <t>SMMLV Colombia 2025</t>
        </is>
      </c>
      <c r="B91" t="inlineStr">
        <is>
          <t>Decreto 1572 de 2024 (1.423.500 COP)</t>
        </is>
      </c>
    </row>
    <row r="92">
      <c r="A92" s="22" t="inlineStr">
        <is>
          <t>Jornada Colombia</t>
        </is>
      </c>
      <c r="B92" t="inlineStr">
        <is>
          <t>Ley 2101 de 2021; 42 h/semana desde el 15-jul-2026 (https://normativa.colpensiones.gov.co/compilacion/docs/circular_mintra_0101_2025.htm)</t>
        </is>
      </c>
    </row>
    <row r="93">
      <c r="A93" s="22" t="inlineStr">
        <is>
          <t>Recargo nocturno Colombia</t>
        </is>
      </c>
      <c r="B93" t="inlineStr">
        <is>
          <t>Código Sustantivo del Trabajo, art. 168</t>
        </is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2026-10-24T17:31:40Z</dcterms:created>
  <dcterms:modified xsi:type="dcterms:W3CDTF">2026-10-24T17:31:40Z</dcterms:modified>
</cp:coreProperties>
</file>