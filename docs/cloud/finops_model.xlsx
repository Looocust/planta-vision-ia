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Operación actual" sheetId="2" state="visible" r:id="rId2"/>
    <sheet name="Azure" sheetId="3" state="visible" r:id="rId3"/>
    <sheet name="AWS" sheetId="4" state="visible" r:id="rId4"/>
    <sheet name="Comparativo" sheetId="5" state="visible" r:id="rId5"/>
    <sheet name="Sensibilidad" sheetId="6" state="visible" r:id="rId6"/>
    <sheet name="Fuentes" sheetId="7" state="visible" r:id="rId7"/>
  </sheets>
  <definedNames>
    <definedName name="plantas">'Supuestos'!$C$6</definedName>
    <definedName name="estaciones">'Supuestos'!$C$7</definedName>
    <definedName name="horas_semana">'Supuestos'!$C$8</definedName>
    <definedName name="semanas_mes">'Supuestos'!$C$9</definedName>
    <definedName name="horas_mes">'Supuestos'!$C$10</definedName>
    <definedName name="dias_mes">'Supuestos'!$C$11</definedName>
    <definedName name="operadores_turno">'Supuestos'!$C$12</definedName>
    <definedName name="factor_cobertura">'Supuestos'!$C$13</definedName>
    <definedName name="throughput_obj_h">'Supuestos'!$C$14</definedName>
    <definedName name="pct_automatizado">'Supuestos'!$C$16</definedName>
    <definedName name="min_caso_revision">'Supuestos'!$C$17</definedName>
    <definedName name="fte_residual">'Supuestos'!$C$18</definedName>
    <definedName name="salario_co_cop">'Supuestos'!$C$20</definedName>
    <definedName name="factor_prest_co">'Supuestos'!$C$21</definedName>
    <definedName name="horas_lab_mes_co">'Supuestos'!$C$22</definedName>
    <definedName name="pct_nocturno">'Supuestos'!$C$23</definedName>
    <definedName name="recargo_noct_co">'Supuestos'!$C$24</definedName>
    <definedName name="trm_cop_usd">'Supuestos'!$C$25</definedName>
    <definedName name="costo_hora_co">'Supuestos'!$C$26</definedName>
    <definedName name="salario_es_eur">'Supuestos'!$C$28</definedName>
    <definedName name="ss_empresa_es">'Supuestos'!$C$29</definedName>
    <definedName name="horas_anuales_es">'Supuestos'!$C$30</definedName>
    <definedName name="plus_noct_es">'Supuestos'!$C$31</definedName>
    <definedName name="usd_por_eur">'Supuestos'!$C$32</definedName>
    <definedName name="costo_hora_es">'Supuestos'!$C$33</definedName>
    <definedName name="muestreo_act">'Supuestos'!$C$35</definedName>
    <definedName name="pct_subidas">'Supuestos'!$C$36</definedName>
    <definedName name="kb_imagen">'Supuestos'!$C$37</definedName>
    <definedName name="gb_imagenes_mes_est">'Supuestos'!$C$38</definedName>
    <definedName name="dias_hot">'Supuestos'!$C$39</definedName>
    <definedName name="dias_cool">'Supuestos'!$C$40</definedName>
    <definedName name="dias_archivo">'Supuestos'!$C$41</definedName>
    <definedName name="msgs_dia_estacion">'Supuestos'!$C$42</definedName>
    <definedName name="gb_logs_mes">'Supuestos'!$C$43</definedName>
    <definedName name="conv_dia_base">'Supuestos'!$C$45</definedName>
    <definedName name="conv_dia_estacion">'Supuestos'!$C$46</definedName>
    <definedName name="conv_mes">'Supuestos'!$C$47</definedName>
    <definedName name="tok_in_conv">'Supuestos'!$C$48</definedName>
    <definedName name="tok_out_conv">'Supuestos'!$C$49</definedName>
    <definedName name="pct_cache">'Supuestos'!$C$50</definedName>
    <definedName name="pct_modelo_grande">'Supuestos'!$C$51</definedName>
    <definedName name="tok_embed_mes">'Supuestos'!$C$52</definedName>
    <definedName name="capex_pc">'Supuestos'!$C$54</definedName>
    <definedName name="capex_camara">'Supuestos'!$C$55</definedName>
    <definedName name="capex_integracion">'Supuestos'!$C$56</definedName>
    <definedName name="capex_planta">'Supuestos'!$C$57</definedName>
    <definedName name="pct_mant_hw">'Supuestos'!$C$58</definedName>
    <definedName name="replicas_bd">'Supuestos'!$C$60</definedName>
    <definedName name="horas_activas_vision_cloud">'Supuestos'!$C$61</definedName>
    <definedName name="horas_entrenamiento">'Supuestos'!$C$62</definedName>
    <definedName name="actual_mes_co">'Operación actual'!$B$10</definedName>
    <definedName name="actual_mes_es">'Operación actual'!$C$10</definedName>
    <definedName name="actual_estacion_co">'Operación actual'!$B$8</definedName>
    <definedName name="actual_estacion_es">'Operación actual'!$C$8</definedName>
    <definedName name="azure_total_mes">'Azure'!$G$43</definedName>
    <definedName name="azure_fijo_mes">'Azure'!$G$40</definedName>
    <definedName name="azure_estacion_total_mes">'Azure'!$G$41</definedName>
    <definedName name="azure_llm_mes">'Azure'!$G$42</definedName>
    <definedName name="azure_por_estacion_mes">'Azure'!$G$45</definedName>
    <definedName name="azure_llm_por_conv">'Azure'!$G$46</definedName>
    <definedName name="aws_total_mes">'AWS'!$G$44</definedName>
    <definedName name="aws_fijo_mes">'AWS'!$G$41</definedName>
    <definedName name="aws_estacion_total_mes">'AWS'!$G$42</definedName>
    <definedName name="aws_llm_mes">'AWS'!$G$43</definedName>
    <definedName name="aws_por_estacion_mes">'AWS'!$G$46</definedName>
    <definedName name="aws_llm_por_conv">'AWS'!$G$47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.00"/>
    <numFmt numFmtId="166" formatCode="&quot;$&quot;#,##0"/>
    <numFmt numFmtId="167" formatCode="0.000000"/>
    <numFmt numFmtId="168" formatCode="0.0000"/>
    <numFmt numFmtId="169" formatCode="0.000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b val="1"/>
      <color rgb="001F4E9E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4" borderId="0" pivotButton="0" quotePrefix="0" xfId="0"/>
    <xf numFmtId="0" fontId="0" fillId="4" borderId="0" pivotButton="0" quotePrefix="0" xfId="0"/>
    <xf numFmtId="0" fontId="0" fillId="0" borderId="0" applyAlignment="1" pivotButton="0" quotePrefix="0" xfId="0">
      <alignment vertical="top" wrapText="1"/>
    </xf>
    <xf numFmtId="3" fontId="4" fillId="5" borderId="1" pivotButton="0" quotePrefix="0" xfId="0"/>
    <xf numFmtId="4" fontId="0" fillId="0" borderId="1" pivotButton="0" quotePrefix="0" xfId="0"/>
    <xf numFmtId="4" fontId="4" fillId="5" borderId="1" pivotButton="0" quotePrefix="0" xfId="0"/>
    <xf numFmtId="164" fontId="4" fillId="5" borderId="1" pivotButton="0" quotePrefix="0" xfId="0"/>
    <xf numFmtId="165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6" fontId="4" fillId="5" borderId="1" pivotButton="0" quotePrefix="0" xfId="0"/>
    <xf numFmtId="166" fontId="0" fillId="0" borderId="1" pivotButton="0" quotePrefix="0" xfId="0"/>
    <xf numFmtId="0" fontId="3" fillId="6" borderId="0" pivotButton="0" quotePrefix="0" xfId="0"/>
    <xf numFmtId="166" fontId="3" fillId="6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167" fontId="4" fillId="5" borderId="1" pivotButton="0" quotePrefix="0" xfId="0"/>
    <xf numFmtId="0" fontId="4" fillId="5" borderId="1" pivotButton="0" quotePrefix="0" xfId="0"/>
    <xf numFmtId="0" fontId="3" fillId="0" borderId="0" pivotButton="0" quotePrefix="0" xfId="0"/>
    <xf numFmtId="165" fontId="3" fillId="0" borderId="0" pivotButton="0" quotePrefix="0" xfId="0"/>
    <xf numFmtId="165" fontId="3" fillId="6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69" fontId="0" fillId="0" borderId="1" pivotButton="0" quotePrefix="0" xfId="0"/>
    <xf numFmtId="0" fontId="0" fillId="0" borderId="0" applyAlignment="1" pivotButton="0" quotePrefix="0" xfId="0">
      <alignment/>
    </xf>
    <xf numFmtId="164" fontId="4" fillId="5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4" fillId="5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FinOps</author>
  </authors>
  <commentList>
    <comment ref="C16" authorId="0" shapeId="0">
      <text>
        <t>Coordinador: reemplazar por la cobertura ACT medida en test (reporte del modelo).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58" customWidth="1" min="2" max="2"/>
    <col width="16" customWidth="1" min="3" max="3"/>
    <col width="11" customWidth="1" min="4" max="4"/>
    <col width="12" customWidth="1" min="5" max="5"/>
    <col width="70" customWidth="1" min="6" max="6"/>
    <col width="12" customWidth="1" min="7" max="7"/>
  </cols>
  <sheetData>
    <row r="1">
      <c r="A1" s="1" t="inlineStr">
        <is>
          <t>Supuestos del modelo FinOps (todo lo editable está aquí)</t>
        </is>
      </c>
      <c r="B1" s="2" t="n"/>
      <c r="C1" s="2" t="n"/>
      <c r="D1" s="2" t="n"/>
      <c r="E1" s="2" t="n"/>
      <c r="F1" s="2" t="n"/>
      <c r="G1" s="2" t="n"/>
    </row>
    <row r="2" ht="45" customHeight="1">
      <c r="A2" s="3" t="inlineStr">
        <is>
          <t>Celdas amarillas con texto azul = entradas editables. Las demás hojas solo tienen fórmulas. Tipo: 'Supuesto' = valor elegido por el candidato y defendible pero no verificado; 'Referencia' = dato público con fuente; 'Calculado' = fórmula. Moneda de salida: USD.</t>
        </is>
      </c>
    </row>
    <row r="4">
      <c r="A4" s="4" t="inlineStr">
        <is>
          <t>Nombre (rango)</t>
        </is>
      </c>
      <c r="B4" s="4" t="inlineStr">
        <is>
          <t>Descripción</t>
        </is>
      </c>
      <c r="C4" s="4" t="inlineStr">
        <is>
          <t>Valor</t>
        </is>
      </c>
      <c r="D4" s="4" t="inlineStr">
        <is>
          <t>Unidad</t>
        </is>
      </c>
      <c r="E4" s="4" t="inlineStr">
        <is>
          <t>Tipo</t>
        </is>
      </c>
      <c r="F4" s="4" t="inlineStr">
        <is>
          <t>Fuente / justificación</t>
        </is>
      </c>
      <c r="G4" s="4" t="inlineStr">
        <is>
          <t>Fecha</t>
        </is>
      </c>
    </row>
    <row r="5">
      <c r="A5" s="5" t="inlineStr">
        <is>
          <t>Operación de la planta</t>
        </is>
      </c>
      <c r="B5" s="6" t="n"/>
      <c r="C5" s="6" t="n"/>
      <c r="D5" s="6" t="n"/>
      <c r="E5" s="6" t="n"/>
      <c r="F5" s="6" t="n"/>
      <c r="G5" s="6" t="n"/>
    </row>
    <row r="6">
      <c r="A6" t="inlineStr">
        <is>
          <t>plantas</t>
        </is>
      </c>
      <c r="B6" s="7" t="inlineStr">
        <is>
          <t>Plantas en el alcance</t>
        </is>
      </c>
      <c r="C6" s="8" t="n">
        <v>1</v>
      </c>
      <c r="D6" t="inlineStr">
        <is>
          <t>plantas</t>
        </is>
      </c>
      <c r="E6" t="inlineStr">
        <is>
          <t>Supuesto</t>
        </is>
      </c>
      <c r="F6" s="7" t="inlineStr">
        <is>
          <t>Piloto en una planta; el modelo escala por estaciones</t>
        </is>
      </c>
      <c r="G6" t="inlineStr">
        <is>
          <t>2026-10-24</t>
        </is>
      </c>
    </row>
    <row r="7">
      <c r="A7" t="inlineStr">
        <is>
          <t>estaciones</t>
        </is>
      </c>
      <c r="B7" s="7" t="inlineStr">
        <is>
          <t>Estaciones (líneas de empaque) por planta</t>
        </is>
      </c>
      <c r="C7" s="8" t="n">
        <v>1</v>
      </c>
      <c r="D7" t="inlineStr">
        <is>
          <t>estaciones</t>
        </is>
      </c>
      <c r="E7" t="inlineStr">
        <is>
          <t>Supuesto</t>
        </is>
      </c>
      <c r="F7" s="7" t="inlineStr">
        <is>
          <t>Caso base del enunciado: 1 estación. Ver hoja Sensibilidad para 5 y 20</t>
        </is>
      </c>
      <c r="G7" t="inlineStr">
        <is>
          <t>2026-10-24</t>
        </is>
      </c>
    </row>
    <row r="8">
      <c r="A8" t="inlineStr">
        <is>
          <t>horas_semana</t>
        </is>
      </c>
      <c r="B8" s="7" t="inlineStr">
        <is>
          <t>Horas de operación por semana</t>
        </is>
      </c>
      <c r="C8" s="8" t="n">
        <v>120</v>
      </c>
      <c r="D8" t="inlineStr">
        <is>
          <t>h/semana</t>
        </is>
      </c>
      <c r="E8" t="inlineStr">
        <is>
          <t>Referencia</t>
        </is>
      </c>
      <c r="F8" s="7" t="inlineStr">
        <is>
          <t>Enunciado: 24 h/día × 5 días/semana (3 turnos de 8 h)</t>
        </is>
      </c>
      <c r="G8" t="inlineStr">
        <is>
          <t>2026-10-24</t>
        </is>
      </c>
    </row>
    <row r="9">
      <c r="A9" t="inlineStr">
        <is>
          <t>semanas_mes</t>
        </is>
      </c>
      <c r="B9" s="7" t="inlineStr">
        <is>
          <t>Semanas promedio por mes</t>
        </is>
      </c>
      <c r="C9" s="9">
        <f>52/12</f>
        <v/>
      </c>
      <c r="D9" t="inlineStr">
        <is>
          <t>semanas</t>
        </is>
      </c>
      <c r="E9" t="inlineStr">
        <is>
          <t>Calculado</t>
        </is>
      </c>
      <c r="F9" s="7" t="inlineStr">
        <is>
          <t>52 semanas / 12 meses</t>
        </is>
      </c>
      <c r="G9" t="inlineStr">
        <is>
          <t>2026-10-24</t>
        </is>
      </c>
    </row>
    <row r="10">
      <c r="A10" t="inlineStr">
        <is>
          <t>horas_mes</t>
        </is>
      </c>
      <c r="B10" s="7" t="inlineStr">
        <is>
          <t>Horas de operación por mes</t>
        </is>
      </c>
      <c r="C10" s="9">
        <f>horas_semana*semanas_mes</f>
        <v/>
      </c>
      <c r="D10" t="inlineStr">
        <is>
          <t>h/mes</t>
        </is>
      </c>
      <c r="E10" t="inlineStr">
        <is>
          <t>Calculado</t>
        </is>
      </c>
      <c r="F10" s="7" t="inlineStr">
        <is>
          <t>120 × 4,33 ≈ 520 h</t>
        </is>
      </c>
      <c r="G10" t="inlineStr">
        <is>
          <t>2026-10-24</t>
        </is>
      </c>
    </row>
    <row r="11">
      <c r="A11" t="inlineStr">
        <is>
          <t>dias_mes</t>
        </is>
      </c>
      <c r="B11" s="7" t="inlineStr">
        <is>
          <t>Días de operación por mes</t>
        </is>
      </c>
      <c r="C11" s="9">
        <f>5*semanas_mes</f>
        <v/>
      </c>
      <c r="D11" t="inlineStr">
        <is>
          <t>días/mes</t>
        </is>
      </c>
      <c r="E11" t="inlineStr">
        <is>
          <t>Calculado</t>
        </is>
      </c>
      <c r="F11" s="7" t="inlineStr">
        <is>
          <t>5 días × 4,33</t>
        </is>
      </c>
      <c r="G11" t="inlineStr">
        <is>
          <t>2026-10-24</t>
        </is>
      </c>
    </row>
    <row r="12">
      <c r="A12" t="inlineStr">
        <is>
          <t>operadores_turno</t>
        </is>
      </c>
      <c r="B12" s="7" t="inlineStr">
        <is>
          <t>Operadores por turno por estación</t>
        </is>
      </c>
      <c r="C12" s="8" t="n">
        <v>1</v>
      </c>
      <c r="D12" t="inlineStr">
        <is>
          <t>personas</t>
        </is>
      </c>
      <c r="E12" t="inlineStr">
        <is>
          <t>Referencia</t>
        </is>
      </c>
      <c r="F12" s="7" t="inlineStr">
        <is>
          <t>Enunciado: 1 operador por turno por estación</t>
        </is>
      </c>
      <c r="G12" t="inlineStr">
        <is>
          <t>2026-10-24</t>
        </is>
      </c>
    </row>
    <row r="13">
      <c r="A13" t="inlineStr">
        <is>
          <t>factor_cobertura</t>
        </is>
      </c>
      <c r="B13" s="7" t="inlineStr">
        <is>
          <t>Factor de cobertura (vacaciones, ausentismo, relevos)</t>
        </is>
      </c>
      <c r="C13" s="10" t="n">
        <v>1.15</v>
      </c>
      <c r="D13" t="inlineStr">
        <is>
          <t>×</t>
        </is>
      </c>
      <c r="E13" t="inlineStr">
        <is>
          <t>Supuesto</t>
        </is>
      </c>
      <c r="F13" s="7" t="inlineStr">
        <is>
          <t>Cubrir 1 puesto 24×5 requiere ~15% más horas pagadas que horas de puesto</t>
        </is>
      </c>
      <c r="G13" t="inlineStr">
        <is>
          <t>2026-10-24</t>
        </is>
      </c>
    </row>
    <row r="14">
      <c r="A14" t="inlineStr">
        <is>
          <t>throughput_obj_h</t>
        </is>
      </c>
      <c r="B14" s="7" t="inlineStr">
        <is>
          <t>Objetos procesados por hora por estación</t>
        </is>
      </c>
      <c r="C14" s="8" t="n">
        <v>600</v>
      </c>
      <c r="D14" t="inlineStr">
        <is>
          <t>obj/h</t>
        </is>
      </c>
      <c r="E14" t="inlineStr">
        <is>
          <t>Supuesto</t>
        </is>
      </c>
      <c r="F14" s="7" t="inlineStr">
        <is>
          <t>1 objeto cada 6 s. Ajustar con el dato real de la línea</t>
        </is>
      </c>
      <c r="G14" t="inlineStr">
        <is>
          <t>2026-10-24</t>
        </is>
      </c>
    </row>
    <row r="15">
      <c r="A15" s="5" t="inlineStr">
        <is>
          <t>Desempeño del sistema automático</t>
        </is>
      </c>
      <c r="B15" s="6" t="n"/>
      <c r="C15" s="6" t="n"/>
      <c r="D15" s="6" t="n"/>
      <c r="E15" s="6" t="n"/>
      <c r="F15" s="6" t="n"/>
      <c r="G15" s="6" t="n"/>
    </row>
    <row r="16">
      <c r="A16" t="inlineStr">
        <is>
          <t>pct_automatizado</t>
        </is>
      </c>
      <c r="B16" s="7" t="inlineStr">
        <is>
          <t>% de objetos resueltos sin humano (decisión ACT correcta)</t>
        </is>
      </c>
      <c r="C16" s="11" t="n">
        <v>0.95</v>
      </c>
      <c r="D16" t="inlineStr">
        <is>
          <t>%</t>
        </is>
      </c>
      <c r="E16" t="inlineStr">
        <is>
          <t>Supuesto</t>
        </is>
      </c>
      <c r="F16" s="7" t="inlineStr">
        <is>
          <t>ACTUALIZAR con la cobertura ACT del modelo (docs/report). Placeholder conservador</t>
        </is>
      </c>
      <c r="G16" t="inlineStr">
        <is>
          <t>2026-10-24</t>
        </is>
      </c>
    </row>
    <row r="17">
      <c r="A17" t="inlineStr">
        <is>
          <t>min_caso_revision</t>
        </is>
      </c>
      <c r="B17" s="7" t="inlineStr">
        <is>
          <t>Minutos humanos por caso en cola (REVIEW/REJECT)</t>
        </is>
      </c>
      <c r="C17" s="10" t="n">
        <v>0.5</v>
      </c>
      <c r="D17" t="inlineStr">
        <is>
          <t>min/caso</t>
        </is>
      </c>
      <c r="E17" t="inlineStr">
        <is>
          <t>Supuesto</t>
        </is>
      </c>
      <c r="F17" s="7" t="inlineStr">
        <is>
          <t>Mirar evidencia en UI + reubicar físicamente el objeto desviado (~30 s)</t>
        </is>
      </c>
      <c r="G17" t="inlineStr">
        <is>
          <t>2026-10-24</t>
        </is>
      </c>
    </row>
    <row r="18">
      <c r="A18" t="inlineStr">
        <is>
          <t>fte_residual</t>
        </is>
      </c>
      <c r="B18" s="7" t="inlineStr">
        <is>
          <t>FTE residual por estación (supervisión, atascos, reabastecer)</t>
        </is>
      </c>
      <c r="C18" s="10" t="n">
        <v>0.1</v>
      </c>
      <c r="D18" t="inlineStr">
        <is>
          <t>FTE</t>
        </is>
      </c>
      <c r="E18" t="inlineStr">
        <is>
          <t>Supuesto</t>
        </is>
      </c>
      <c r="F18" s="7" t="inlineStr">
        <is>
          <t>Persona itinerante que atiende varias estaciones</t>
        </is>
      </c>
      <c r="G18" t="inlineStr">
        <is>
          <t>2026-10-24</t>
        </is>
      </c>
    </row>
    <row r="19">
      <c r="A19" s="5" t="inlineStr">
        <is>
          <t>Costo laboral — escenario Colombia</t>
        </is>
      </c>
      <c r="B19" s="6" t="n"/>
      <c r="C19" s="6" t="n"/>
      <c r="D19" s="6" t="n"/>
      <c r="E19" s="6" t="n"/>
      <c r="F19" s="6" t="n"/>
      <c r="G19" s="6" t="n"/>
    </row>
    <row r="20">
      <c r="A20" t="inlineStr">
        <is>
          <t>salario_co_cop</t>
        </is>
      </c>
      <c r="B20" s="7" t="inlineStr">
        <is>
          <t>Salario base mensual operador</t>
        </is>
      </c>
      <c r="C20" s="8" t="n">
        <v>1750000</v>
      </c>
      <c r="D20" t="inlineStr">
        <is>
          <t>COP/mes</t>
        </is>
      </c>
      <c r="E20" t="inlineStr">
        <is>
          <t>Supuesto</t>
        </is>
      </c>
      <c r="F20" s="7" t="inlineStr">
        <is>
          <t>≈1,2 SMMLV 2025 (SMMLV 2025 = 1.423.500 COP, Decreto 1572/2024). Actualizar a 2026</t>
        </is>
      </c>
      <c r="G20" t="inlineStr">
        <is>
          <t>2026-10-24</t>
        </is>
      </c>
    </row>
    <row r="21">
      <c r="A21" t="inlineStr">
        <is>
          <t>factor_prest_co</t>
        </is>
      </c>
      <c r="B21" s="7" t="inlineStr">
        <is>
          <t>Factor prestacional (prestaciones, seguridad social, parafiscales, aux. transporte)</t>
        </is>
      </c>
      <c r="C21" s="10" t="n">
        <v>1.55</v>
      </c>
      <c r="D21" t="inlineStr">
        <is>
          <t>×</t>
        </is>
      </c>
      <c r="E21" t="inlineStr">
        <is>
          <t>Supuesto</t>
        </is>
      </c>
      <c r="F21" s="7" t="inlineStr">
        <is>
          <t>Rango típico 1,50–1,60 para salarios bajos en Colombia</t>
        </is>
      </c>
      <c r="G21" t="inlineStr">
        <is>
          <t>2026-10-24</t>
        </is>
      </c>
    </row>
    <row r="22">
      <c r="A22" t="inlineStr">
        <is>
          <t>horas_lab_mes_co</t>
        </is>
      </c>
      <c r="B22" s="7" t="inlineStr">
        <is>
          <t>Horas laborales contratadas por mes</t>
        </is>
      </c>
      <c r="C22" s="8" t="n">
        <v>190</v>
      </c>
      <c r="D22" t="inlineStr">
        <is>
          <t>h/mes</t>
        </is>
      </c>
      <c r="E22" t="inlineStr">
        <is>
          <t>Supuesto</t>
        </is>
      </c>
      <c r="F22" s="7" t="inlineStr">
        <is>
          <t>Jornada de 44 h/semana (Ley 2101/2021, tramo 2025-2026) × 4,33</t>
        </is>
      </c>
      <c r="G22" t="inlineStr">
        <is>
          <t>2026-10-24</t>
        </is>
      </c>
    </row>
    <row r="23">
      <c r="A23" t="inlineStr">
        <is>
          <t>pct_nocturno</t>
        </is>
      </c>
      <c r="B23" s="7" t="inlineStr">
        <is>
          <t>% de horas en franja nocturna</t>
        </is>
      </c>
      <c r="C23" s="11" t="n">
        <v>0.33</v>
      </c>
      <c r="D23" t="inlineStr">
        <is>
          <t>%</t>
        </is>
      </c>
      <c r="E23" t="inlineStr">
        <is>
          <t>Supuesto</t>
        </is>
      </c>
      <c r="F23" s="7" t="inlineStr">
        <is>
          <t>1 de 3 turnos nocturno</t>
        </is>
      </c>
      <c r="G23" t="inlineStr">
        <is>
          <t>2026-10-24</t>
        </is>
      </c>
    </row>
    <row r="24">
      <c r="A24" t="inlineStr">
        <is>
          <t>recargo_noct_co</t>
        </is>
      </c>
      <c r="B24" s="7" t="inlineStr">
        <is>
          <t>Recargo nocturno</t>
        </is>
      </c>
      <c r="C24" s="11" t="n">
        <v>0.35</v>
      </c>
      <c r="D24" t="inlineStr">
        <is>
          <t>%</t>
        </is>
      </c>
      <c r="E24" t="inlineStr">
        <is>
          <t>Referencia</t>
        </is>
      </c>
      <c r="F24" s="7" t="inlineStr">
        <is>
          <t>Código Sustantivo del Trabajo art. 168: 35%</t>
        </is>
      </c>
      <c r="G24" t="inlineStr">
        <is>
          <t>2026-10-24</t>
        </is>
      </c>
    </row>
    <row r="25">
      <c r="A25" t="inlineStr">
        <is>
          <t>trm_cop_usd</t>
        </is>
      </c>
      <c r="B25" s="7" t="inlineStr">
        <is>
          <t>Tasa de cambio COP por USD</t>
        </is>
      </c>
      <c r="C25" s="8" t="n">
        <v>4000</v>
      </c>
      <c r="D25" t="inlineStr">
        <is>
          <t>COP/USD</t>
        </is>
      </c>
      <c r="E25" t="inlineStr">
        <is>
          <t>Supuesto</t>
        </is>
      </c>
      <c r="F25" s="7" t="inlineStr">
        <is>
          <t>Verificar TRM del día (banrep.gov.co)</t>
        </is>
      </c>
      <c r="G25" t="inlineStr">
        <is>
          <t>2026-10-24</t>
        </is>
      </c>
    </row>
    <row r="26">
      <c r="A26" t="inlineStr">
        <is>
          <t>costo_hora_co</t>
        </is>
      </c>
      <c r="B26" s="7" t="inlineStr">
        <is>
          <t>Costo cargado por hora-persona (Colombia)</t>
        </is>
      </c>
      <c r="C26" s="12">
        <f>salario_co_cop*factor_prest_co/horas_lab_mes_co/trm_cop_usd*(1+recargo_noct_co*pct_nocturno)</f>
        <v/>
      </c>
      <c r="D26" t="inlineStr">
        <is>
          <t>USD/h</t>
        </is>
      </c>
      <c r="E26" t="inlineStr">
        <is>
          <t>Calculado</t>
        </is>
      </c>
      <c r="F26" s="7" t="inlineStr">
        <is>
          <t>Salario × factor / horas / TRM × recargo nocturno ponderado</t>
        </is>
      </c>
      <c r="G26" t="inlineStr">
        <is>
          <t>2026-10-24</t>
        </is>
      </c>
    </row>
    <row r="27">
      <c r="A27" s="5" t="inlineStr">
        <is>
          <t>Costo laboral — escenario España</t>
        </is>
      </c>
      <c r="B27" s="6" t="n"/>
      <c r="C27" s="6" t="n"/>
      <c r="D27" s="6" t="n"/>
      <c r="E27" s="6" t="n"/>
      <c r="F27" s="6" t="n"/>
      <c r="G27" s="6" t="n"/>
    </row>
    <row r="28">
      <c r="A28" t="inlineStr">
        <is>
          <t>salario_es_eur</t>
        </is>
      </c>
      <c r="B28" s="7" t="inlineStr">
        <is>
          <t>Salario bruto anual operador</t>
        </is>
      </c>
      <c r="C28" s="8" t="n">
        <v>22000</v>
      </c>
      <c r="D28" t="inlineStr">
        <is>
          <t>EUR/año</t>
        </is>
      </c>
      <c r="E28" t="inlineStr">
        <is>
          <t>Supuesto</t>
        </is>
      </c>
      <c r="F28" s="7" t="inlineStr">
        <is>
          <t>Rango de convenios de industria/logística para mozo/operador de línea</t>
        </is>
      </c>
      <c r="G28" t="inlineStr">
        <is>
          <t>2026-10-24</t>
        </is>
      </c>
    </row>
    <row r="29">
      <c r="A29" t="inlineStr">
        <is>
          <t>ss_empresa_es</t>
        </is>
      </c>
      <c r="B29" s="7" t="inlineStr">
        <is>
          <t>Seguridad Social a cargo de la empresa</t>
        </is>
      </c>
      <c r="C29" s="11" t="n">
        <v>0.32</v>
      </c>
      <c r="D29" t="inlineStr">
        <is>
          <t>%</t>
        </is>
      </c>
      <c r="E29" t="inlineStr">
        <is>
          <t>Supuesto</t>
        </is>
      </c>
      <c r="F29" s="7" t="inlineStr">
        <is>
          <t>≈31-33% (contingencias comunes, desempleo, FOGASA, FP, AT/EP)</t>
        </is>
      </c>
      <c r="G29" t="inlineStr">
        <is>
          <t>2026-10-24</t>
        </is>
      </c>
    </row>
    <row r="30">
      <c r="A30" t="inlineStr">
        <is>
          <t>horas_anuales_es</t>
        </is>
      </c>
      <c r="B30" s="7" t="inlineStr">
        <is>
          <t>Horas efectivas anuales por convenio</t>
        </is>
      </c>
      <c r="C30" s="8" t="n">
        <v>1760</v>
      </c>
      <c r="D30" t="inlineStr">
        <is>
          <t>h/año</t>
        </is>
      </c>
      <c r="E30" t="inlineStr">
        <is>
          <t>Supuesto</t>
        </is>
      </c>
      <c r="F30" s="7" t="inlineStr">
        <is>
          <t>Rango 1.750–1.800 h según convenio</t>
        </is>
      </c>
      <c r="G30" t="inlineStr">
        <is>
          <t>2026-10-24</t>
        </is>
      </c>
    </row>
    <row r="31">
      <c r="A31" t="inlineStr">
        <is>
          <t>plus_noct_es</t>
        </is>
      </c>
      <c r="B31" s="7" t="inlineStr">
        <is>
          <t>Plus de nocturnidad</t>
        </is>
      </c>
      <c r="C31" s="11" t="n">
        <v>0.25</v>
      </c>
      <c r="D31" t="inlineStr">
        <is>
          <t>%</t>
        </is>
      </c>
      <c r="E31" t="inlineStr">
        <is>
          <t>Supuesto</t>
        </is>
      </c>
      <c r="F31" s="7" t="inlineStr">
        <is>
          <t>Estatuto de los Trabajadores art. 36 remite a convenio; 25% es habitual</t>
        </is>
      </c>
      <c r="G31" t="inlineStr">
        <is>
          <t>2026-10-24</t>
        </is>
      </c>
    </row>
    <row r="32">
      <c r="A32" t="inlineStr">
        <is>
          <t>usd_por_eur</t>
        </is>
      </c>
      <c r="B32" s="7" t="inlineStr">
        <is>
          <t>USD por EUR</t>
        </is>
      </c>
      <c r="C32" s="10" t="n">
        <v>1.15</v>
      </c>
      <c r="D32" t="inlineStr">
        <is>
          <t>USD/EUR</t>
        </is>
      </c>
      <c r="E32" t="inlineStr">
        <is>
          <t>Supuesto</t>
        </is>
      </c>
      <c r="F32" s="7" t="inlineStr">
        <is>
          <t>Verificar tipo de cambio del día (BCE)</t>
        </is>
      </c>
      <c r="G32" t="inlineStr">
        <is>
          <t>2026-10-24</t>
        </is>
      </c>
    </row>
    <row r="33">
      <c r="A33" t="inlineStr">
        <is>
          <t>costo_hora_es</t>
        </is>
      </c>
      <c r="B33" s="7" t="inlineStr">
        <is>
          <t>Costo cargado por hora-persona (España)</t>
        </is>
      </c>
      <c r="C33" s="12">
        <f>salario_es_eur*(1+ss_empresa_es)/horas_anuales_es*usd_por_eur*(1+plus_noct_es*pct_nocturno)</f>
        <v/>
      </c>
      <c r="D33" t="inlineStr">
        <is>
          <t>USD/h</t>
        </is>
      </c>
      <c r="E33" t="inlineStr">
        <is>
          <t>Calculado</t>
        </is>
      </c>
      <c r="F33" s="7" t="inlineStr">
        <is>
          <t>Bruto × (1+SS) / horas × USD/EUR × plus nocturno ponderado</t>
        </is>
      </c>
      <c r="G33" t="inlineStr">
        <is>
          <t>2026-10-24</t>
        </is>
      </c>
    </row>
    <row r="34">
      <c r="A34" s="5" t="inlineStr">
        <is>
          <t>Imágenes y telemetría</t>
        </is>
      </c>
      <c r="B34" s="6" t="n"/>
      <c r="C34" s="6" t="n"/>
      <c r="D34" s="6" t="n"/>
      <c r="E34" s="6" t="n"/>
      <c r="F34" s="6" t="n"/>
      <c r="G34" s="6" t="n"/>
    </row>
    <row r="35">
      <c r="A35" t="inlineStr">
        <is>
          <t>muestreo_act</t>
        </is>
      </c>
      <c r="B35" s="7" t="inlineStr">
        <is>
          <t>% de imágenes ACT que se suben a la nube (auditoría / reentrenamiento)</t>
        </is>
      </c>
      <c r="C35" s="11" t="n">
        <v>0.02</v>
      </c>
      <c r="D35" t="inlineStr">
        <is>
          <t>%</t>
        </is>
      </c>
      <c r="E35" t="inlineStr">
        <is>
          <t>Supuesto</t>
        </is>
      </c>
      <c r="F35" s="7" t="inlineStr">
        <is>
          <t>Todas las REVIEW/REJECT se suben; de las ACT solo una muestra</t>
        </is>
      </c>
      <c r="G35" t="inlineStr">
        <is>
          <t>2026-10-24</t>
        </is>
      </c>
    </row>
    <row r="36">
      <c r="A36" t="inlineStr">
        <is>
          <t>pct_subidas</t>
        </is>
      </c>
      <c r="B36" s="7" t="inlineStr">
        <is>
          <t>% de imágenes subidas a la nube</t>
        </is>
      </c>
      <c r="C36" s="13">
        <f>(1-pct_automatizado)+pct_automatizado*muestreo_act</f>
        <v/>
      </c>
      <c r="D36" t="inlineStr">
        <is>
          <t>%</t>
        </is>
      </c>
      <c r="E36" t="inlineStr">
        <is>
          <t>Calculado</t>
        </is>
      </c>
      <c r="F36" s="7" t="inlineStr">
        <is>
          <t>No-ACT + muestra de ACT</t>
        </is>
      </c>
      <c r="G36" t="inlineStr">
        <is>
          <t>2026-10-24</t>
        </is>
      </c>
    </row>
    <row r="37">
      <c r="A37" t="inlineStr">
        <is>
          <t>kb_imagen</t>
        </is>
      </c>
      <c r="B37" s="7" t="inlineStr">
        <is>
          <t>Tamaño medio por imagen subida (JPEG, rostros difuminados)</t>
        </is>
      </c>
      <c r="C37" s="8" t="n">
        <v>150</v>
      </c>
      <c r="D37" t="inlineStr">
        <is>
          <t>KB</t>
        </is>
      </c>
      <c r="E37" t="inlineStr">
        <is>
          <t>Supuesto</t>
        </is>
      </c>
      <c r="F37" s="7" t="inlineStr">
        <is>
          <t>Cámara ~1,3 MP comprimida</t>
        </is>
      </c>
      <c r="G37" t="inlineStr">
        <is>
          <t>2026-10-24</t>
        </is>
      </c>
    </row>
    <row r="38">
      <c r="A38" t="inlineStr">
        <is>
          <t>gb_imagenes_mes_est</t>
        </is>
      </c>
      <c r="B38" s="7" t="inlineStr">
        <is>
          <t>GB de imágenes nuevas por mes por estación</t>
        </is>
      </c>
      <c r="C38" s="9">
        <f>throughput_obj_h*horas_mes*pct_subidas*kb_imagen/1024/1024</f>
        <v/>
      </c>
      <c r="D38" t="inlineStr">
        <is>
          <t>GB/mes</t>
        </is>
      </c>
      <c r="E38" t="inlineStr">
        <is>
          <t>Calculado</t>
        </is>
      </c>
      <c r="F38" s="7" t="inlineStr"/>
      <c r="G38" t="inlineStr">
        <is>
          <t>2026-10-24</t>
        </is>
      </c>
    </row>
    <row r="39">
      <c r="A39" t="inlineStr">
        <is>
          <t>dias_hot</t>
        </is>
      </c>
      <c r="B39" s="7" t="inlineStr">
        <is>
          <t>Días en tier caliente (Hot / S3 Standard)</t>
        </is>
      </c>
      <c r="C39" s="8" t="n">
        <v>30</v>
      </c>
      <c r="D39" t="inlineStr">
        <is>
          <t>días</t>
        </is>
      </c>
      <c r="E39" t="inlineStr">
        <is>
          <t>Supuesto</t>
        </is>
      </c>
      <c r="F39" s="7" t="inlineStr">
        <is>
          <t>Revisión y reentrenamiento recientes</t>
        </is>
      </c>
      <c r="G39" t="inlineStr">
        <is>
          <t>2026-10-24</t>
        </is>
      </c>
    </row>
    <row r="40">
      <c r="A40" t="inlineStr">
        <is>
          <t>dias_cool</t>
        </is>
      </c>
      <c r="B40" s="7" t="inlineStr">
        <is>
          <t>Días en tier frío (Cool / S3 Standard-IA)</t>
        </is>
      </c>
      <c r="C40" s="8" t="n">
        <v>150</v>
      </c>
      <c r="D40" t="inlineStr">
        <is>
          <t>días</t>
        </is>
      </c>
      <c r="E40" t="inlineStr">
        <is>
          <t>Supuesto</t>
        </is>
      </c>
      <c r="F40" s="7" t="inlineStr">
        <is>
          <t>Del día 31 al 180</t>
        </is>
      </c>
      <c r="G40" t="inlineStr">
        <is>
          <t>2026-10-24</t>
        </is>
      </c>
    </row>
    <row r="41">
      <c r="A41" t="inlineStr">
        <is>
          <t>dias_archivo</t>
        </is>
      </c>
      <c r="B41" s="7" t="inlineStr">
        <is>
          <t>Días en archivo (Archive / Glacier Deep Archive)</t>
        </is>
      </c>
      <c r="C41" s="8" t="n">
        <v>915</v>
      </c>
      <c r="D41" t="inlineStr">
        <is>
          <t>días</t>
        </is>
      </c>
      <c r="E41" t="inlineStr">
        <is>
          <t>Supuesto</t>
        </is>
      </c>
      <c r="F41" s="7" t="inlineStr">
        <is>
          <t>Hasta completar 3 años de retención (auditoría de calidad)</t>
        </is>
      </c>
      <c r="G41" t="inlineStr">
        <is>
          <t>2026-10-24</t>
        </is>
      </c>
    </row>
    <row r="42">
      <c r="A42" t="inlineStr">
        <is>
          <t>msgs_dia_estacion</t>
        </is>
      </c>
      <c r="B42" s="7" t="inlineStr">
        <is>
          <t>Mensajes de telemetría por día por estación</t>
        </is>
      </c>
      <c r="C42" s="8" t="n">
        <v>3000</v>
      </c>
      <c r="D42" t="inlineStr">
        <is>
          <t>msgs/día</t>
        </is>
      </c>
      <c r="E42" t="inlineStr">
        <is>
          <t>Supuesto</t>
        </is>
      </c>
      <c r="F42" s="7" t="inlineStr">
        <is>
          <t>Métricas agregadas cada 30 s + eventos de decisión agregados</t>
        </is>
      </c>
      <c r="G42" t="inlineStr">
        <is>
          <t>2026-10-24</t>
        </is>
      </c>
    </row>
    <row r="43">
      <c r="A43" t="inlineStr">
        <is>
          <t>gb_logs_mes</t>
        </is>
      </c>
      <c r="B43" s="7" t="inlineStr">
        <is>
          <t>GB de logs / trazas por mes (plataforma)</t>
        </is>
      </c>
      <c r="C43" s="8" t="n">
        <v>10</v>
      </c>
      <c r="D43" t="inlineStr">
        <is>
          <t>GB/mes</t>
        </is>
      </c>
      <c r="E43" t="inlineStr">
        <is>
          <t>Supuesto</t>
        </is>
      </c>
      <c r="F43" s="7" t="inlineStr">
        <is>
          <t>Logs de apps + trazas OpenTelemetry del agente, con muestreo</t>
        </is>
      </c>
      <c r="G43" t="inlineStr">
        <is>
          <t>2026-10-24</t>
        </is>
      </c>
    </row>
    <row r="44">
      <c r="A44" s="5" t="inlineStr">
        <is>
          <t>Asistente agéntico (LLM)</t>
        </is>
      </c>
      <c r="B44" s="6" t="n"/>
      <c r="C44" s="6" t="n"/>
      <c r="D44" s="6" t="n"/>
      <c r="E44" s="6" t="n"/>
      <c r="F44" s="6" t="n"/>
      <c r="G44" s="6" t="n"/>
    </row>
    <row r="45">
      <c r="A45" t="inlineStr">
        <is>
          <t>conv_dia_base</t>
        </is>
      </c>
      <c r="B45" s="7" t="inlineStr">
        <is>
          <t>Conversaciones por día (base por planta)</t>
        </is>
      </c>
      <c r="C45" s="8" t="n">
        <v>40</v>
      </c>
      <c r="D45" t="inlineStr">
        <is>
          <t>conv/día</t>
        </is>
      </c>
      <c r="E45" t="inlineStr">
        <is>
          <t>Supuesto</t>
        </is>
      </c>
      <c r="F45" s="7" t="inlineStr">
        <is>
          <t>Supervisores, calidad, mantenimiento, entrega de turno ×3</t>
        </is>
      </c>
      <c r="G45" t="inlineStr">
        <is>
          <t>2026-10-24</t>
        </is>
      </c>
    </row>
    <row r="46">
      <c r="A46" t="inlineStr">
        <is>
          <t>conv_dia_estacion</t>
        </is>
      </c>
      <c r="B46" s="7" t="inlineStr">
        <is>
          <t>Conversaciones adicionales por día por estación</t>
        </is>
      </c>
      <c r="C46" s="8" t="n">
        <v>20</v>
      </c>
      <c r="D46" t="inlineStr">
        <is>
          <t>conv/día</t>
        </is>
      </c>
      <c r="E46" t="inlineStr">
        <is>
          <t>Supuesto</t>
        </is>
      </c>
      <c r="F46" s="7" t="inlineStr">
        <is>
          <t>Consultas de cola, diagnósticos, imágenes</t>
        </is>
      </c>
      <c r="G46" t="inlineStr">
        <is>
          <t>2026-10-24</t>
        </is>
      </c>
    </row>
    <row r="47">
      <c r="A47" t="inlineStr">
        <is>
          <t>conv_mes</t>
        </is>
      </c>
      <c r="B47" s="7" t="inlineStr">
        <is>
          <t>Conversaciones por mes</t>
        </is>
      </c>
      <c r="C47" s="14">
        <f>(conv_dia_base+conv_dia_estacion*estaciones)*dias_mes</f>
        <v/>
      </c>
      <c r="D47" t="inlineStr">
        <is>
          <t>conv/mes</t>
        </is>
      </c>
      <c r="E47" t="inlineStr">
        <is>
          <t>Calculado</t>
        </is>
      </c>
      <c r="F47" s="7" t="inlineStr"/>
      <c r="G47" t="inlineStr">
        <is>
          <t>2026-10-24</t>
        </is>
      </c>
    </row>
    <row r="48">
      <c r="A48" t="inlineStr">
        <is>
          <t>tok_in_conv</t>
        </is>
      </c>
      <c r="B48" s="7" t="inlineStr">
        <is>
          <t>Tokens de entrada por conversación (multi-turno, con tools)</t>
        </is>
      </c>
      <c r="C48" s="8" t="n">
        <v>25000</v>
      </c>
      <c r="D48" t="inlineStr">
        <is>
          <t>tokens</t>
        </is>
      </c>
      <c r="E48" t="inlineStr">
        <is>
          <t>Supuesto</t>
        </is>
      </c>
      <c r="F48" s="7" t="inlineStr">
        <is>
          <t>Prompt de sistema + 13 tools + resultados de tools; medir con usage del agente</t>
        </is>
      </c>
      <c r="G48" t="inlineStr">
        <is>
          <t>2026-10-24</t>
        </is>
      </c>
    </row>
    <row r="49">
      <c r="A49" t="inlineStr">
        <is>
          <t>tok_out_conv</t>
        </is>
      </c>
      <c r="B49" s="7" t="inlineStr">
        <is>
          <t>Tokens de salida por conversación</t>
        </is>
      </c>
      <c r="C49" s="8" t="n">
        <v>1500</v>
      </c>
      <c r="D49" t="inlineStr">
        <is>
          <t>tokens</t>
        </is>
      </c>
      <c r="E49" t="inlineStr">
        <is>
          <t>Supuesto</t>
        </is>
      </c>
      <c r="F49" s="7" t="inlineStr"/>
      <c r="G49" t="inlineStr">
        <is>
          <t>2026-10-24</t>
        </is>
      </c>
    </row>
    <row r="50">
      <c r="A50" t="inlineStr">
        <is>
          <t>pct_cache</t>
        </is>
      </c>
      <c r="B50" s="7" t="inlineStr">
        <is>
          <t>% de tokens de entrada servidos desde caché de prompt</t>
        </is>
      </c>
      <c r="C50" s="11" t="n">
        <v>0.5</v>
      </c>
      <c r="D50" t="inlineStr">
        <is>
          <t>%</t>
        </is>
      </c>
      <c r="E50" t="inlineStr">
        <is>
          <t>Supuesto</t>
        </is>
      </c>
      <c r="F50" s="7" t="inlineStr">
        <is>
          <t>Prompt de sistema y definiciones de tools son estables → cacheables</t>
        </is>
      </c>
      <c r="G50" t="inlineStr">
        <is>
          <t>2026-10-24</t>
        </is>
      </c>
    </row>
    <row r="51">
      <c r="A51" t="inlineStr">
        <is>
          <t>pct_modelo_grande</t>
        </is>
      </c>
      <c r="B51" s="7" t="inlineStr">
        <is>
          <t>% de conversaciones enrutadas al modelo grande</t>
        </is>
      </c>
      <c r="C51" s="11" t="n">
        <v>0.15</v>
      </c>
      <c r="D51" t="inlineStr">
        <is>
          <t>%</t>
        </is>
      </c>
      <c r="E51" t="inlineStr">
        <is>
          <t>Supuesto</t>
        </is>
      </c>
      <c r="F51" s="7" t="inlineStr">
        <is>
          <t>Solo diagnósticos complejos; el resto va al modelo pequeño</t>
        </is>
      </c>
      <c r="G51" t="inlineStr">
        <is>
          <t>2026-10-24</t>
        </is>
      </c>
    </row>
    <row r="52">
      <c r="A52" t="inlineStr">
        <is>
          <t>tok_embed_mes</t>
        </is>
      </c>
      <c r="B52" s="7" t="inlineStr">
        <is>
          <t>Tokens de embeddings por mes (reindexado de SOP)</t>
        </is>
      </c>
      <c r="C52" s="8" t="n">
        <v>2000000</v>
      </c>
      <c r="D52" t="inlineStr">
        <is>
          <t>tokens</t>
        </is>
      </c>
      <c r="E52" t="inlineStr">
        <is>
          <t>Supuesto</t>
        </is>
      </c>
      <c r="F52" s="7" t="inlineStr">
        <is>
          <t>Corpus SOP pequeño, reindexado semanal</t>
        </is>
      </c>
      <c r="G52" t="inlineStr">
        <is>
          <t>2026-10-24</t>
        </is>
      </c>
    </row>
    <row r="53">
      <c r="A53" s="5" t="inlineStr">
        <is>
          <t>CAPEX e implementación (pago único)</t>
        </is>
      </c>
      <c r="B53" s="6" t="n"/>
      <c r="C53" s="6" t="n"/>
      <c r="D53" s="6" t="n"/>
      <c r="E53" s="6" t="n"/>
      <c r="F53" s="6" t="n"/>
      <c r="G53" s="6" t="n"/>
    </row>
    <row r="54">
      <c r="A54" t="inlineStr">
        <is>
          <t>capex_pc</t>
        </is>
      </c>
      <c r="B54" s="7" t="inlineStr">
        <is>
          <t>PC industrial fanless por estación (CPU, 16-32 GB, IP65 opcional)</t>
        </is>
      </c>
      <c r="C54" s="15" t="n">
        <v>3000</v>
      </c>
      <c r="D54" t="inlineStr">
        <is>
          <t>USD</t>
        </is>
      </c>
      <c r="E54" t="inlineStr">
        <is>
          <t>Supuesto</t>
        </is>
      </c>
      <c r="F54" s="7" t="inlineStr">
        <is>
          <t>Rango de mercado USD 2.000–4.000 (Advantech, Siemens IPC, OnLogic)</t>
        </is>
      </c>
      <c r="G54" t="inlineStr">
        <is>
          <t>2026-10-24</t>
        </is>
      </c>
    </row>
    <row r="55">
      <c r="A55" t="inlineStr">
        <is>
          <t>capex_camara</t>
        </is>
      </c>
      <c r="B55" s="7" t="inlineStr">
        <is>
          <t>Cámara industrial + óptica + iluminación + soporte</t>
        </is>
      </c>
      <c r="C55" s="15" t="n">
        <v>2500</v>
      </c>
      <c r="D55" t="inlineStr">
        <is>
          <t>USD</t>
        </is>
      </c>
      <c r="E55" t="inlineStr">
        <is>
          <t>Supuesto</t>
        </is>
      </c>
      <c r="F55" s="7" t="inlineStr">
        <is>
          <t>Cámara GigE/USB3 + lente + domo/anillo LED</t>
        </is>
      </c>
      <c r="G55" t="inlineStr">
        <is>
          <t>2026-10-24</t>
        </is>
      </c>
    </row>
    <row r="56">
      <c r="A56" t="inlineStr">
        <is>
          <t>capex_integracion</t>
        </is>
      </c>
      <c r="B56" s="7" t="inlineStr">
        <is>
          <t>Integración con PLC / robot y puesta en marcha por estación</t>
        </is>
      </c>
      <c r="C56" s="15" t="n">
        <v>15000</v>
      </c>
      <c r="D56" t="inlineStr">
        <is>
          <t>USD</t>
        </is>
      </c>
      <c r="E56" t="inlineStr">
        <is>
          <t>Supuesto</t>
        </is>
      </c>
      <c r="F56" s="7" t="inlineStr">
        <is>
          <t>Ingeniería de automatización, calibración cámara-robot, FAT/SAT</t>
        </is>
      </c>
      <c r="G56" t="inlineStr">
        <is>
          <t>2026-10-24</t>
        </is>
      </c>
    </row>
    <row r="57">
      <c r="A57" t="inlineStr">
        <is>
          <t>capex_planta</t>
        </is>
      </c>
      <c r="B57" s="7" t="inlineStr">
        <is>
          <t>Implementación por planta (piloto, validación, capacitación, nube)</t>
        </is>
      </c>
      <c r="C57" s="15" t="n">
        <v>30000</v>
      </c>
      <c r="D57" t="inlineStr">
        <is>
          <t>USD</t>
        </is>
      </c>
      <c r="E57" t="inlineStr">
        <is>
          <t>Supuesto</t>
        </is>
      </c>
      <c r="F57" s="7" t="inlineStr">
        <is>
          <t>Equipo de proyecto ~2-3 meses (no incluye el desarrollo ya hecho en la demo)</t>
        </is>
      </c>
      <c r="G57" t="inlineStr">
        <is>
          <t>2026-10-24</t>
        </is>
      </c>
    </row>
    <row r="58">
      <c r="A58" t="inlineStr">
        <is>
          <t>pct_mant_hw</t>
        </is>
      </c>
      <c r="B58" s="7" t="inlineStr">
        <is>
          <t>Mantenimiento anual del hardware de borde (% del hardware)</t>
        </is>
      </c>
      <c r="C58" s="11" t="n">
        <v>0.1</v>
      </c>
      <c r="D58" t="inlineStr">
        <is>
          <t>%/año</t>
        </is>
      </c>
      <c r="E58" t="inlineStr">
        <is>
          <t>Supuesto</t>
        </is>
      </c>
      <c r="F58" s="7" t="inlineStr">
        <is>
          <t>Repuestos, reemplazo de cámara, soporte</t>
        </is>
      </c>
      <c r="G58" t="inlineStr">
        <is>
          <t>2026-10-24</t>
        </is>
      </c>
    </row>
    <row r="59">
      <c r="A59" s="5" t="inlineStr">
        <is>
          <t>Producción en la nube</t>
        </is>
      </c>
      <c r="B59" s="6" t="n"/>
      <c r="C59" s="6" t="n"/>
      <c r="D59" s="6" t="n"/>
      <c r="E59" s="6" t="n"/>
      <c r="F59" s="6" t="n"/>
      <c r="G59" s="6" t="n"/>
    </row>
    <row r="60">
      <c r="A60" t="inlineStr">
        <is>
          <t>replicas_bd</t>
        </is>
      </c>
      <c r="B60" s="7" t="inlineStr">
        <is>
          <t>Réplicas de base de datos (1 = sin HA, 2 = HA de zona)</t>
        </is>
      </c>
      <c r="C60" s="8" t="n">
        <v>2</v>
      </c>
      <c r="D60" t="inlineStr">
        <is>
          <t>réplicas</t>
        </is>
      </c>
      <c r="E60" t="inlineStr">
        <is>
          <t>Supuesto</t>
        </is>
      </c>
      <c r="F60" s="7" t="inlineStr">
        <is>
          <t>Producción: HA. Piloto: poner 1</t>
        </is>
      </c>
      <c r="G60" t="inlineStr">
        <is>
          <t>2026-10-24</t>
        </is>
      </c>
    </row>
    <row r="61">
      <c r="A61" t="inlineStr">
        <is>
          <t>horas_activas_vision_cloud</t>
        </is>
      </c>
      <c r="B61" s="7" t="inlineStr">
        <is>
          <t>Horas activas al mes del servicio de visión en nube (no tiempo real)</t>
        </is>
      </c>
      <c r="C61" s="8" t="n">
        <v>60</v>
      </c>
      <c r="D61" t="inlineStr">
        <is>
          <t>h/mes</t>
        </is>
      </c>
      <c r="E61" t="inlineStr">
        <is>
          <t>Supuesto</t>
        </is>
      </c>
      <c r="F61" s="7" t="inlineStr">
        <is>
          <t>Inspección de imágenes desde el chat y staging de SKU; escala a cero</t>
        </is>
      </c>
      <c r="G61" t="inlineStr">
        <is>
          <t>2026-10-24</t>
        </is>
      </c>
    </row>
    <row r="62">
      <c r="A62" t="inlineStr">
        <is>
          <t>horas_entrenamiento</t>
        </is>
      </c>
      <c r="B62" s="7" t="inlineStr">
        <is>
          <t>Horas de cómputo de reentrenamiento al mes</t>
        </is>
      </c>
      <c r="C62" s="8" t="n">
        <v>10</v>
      </c>
      <c r="D62" t="inlineStr">
        <is>
          <t>h/mes</t>
        </is>
      </c>
      <c r="E62" t="inlineStr">
        <is>
          <t>Supuesto</t>
        </is>
      </c>
      <c r="F62" s="7" t="inlineStr">
        <is>
          <t>Modelo clásico en CPU: minutos por corrida; holgura para varias corridas</t>
        </is>
      </c>
      <c r="G62" t="inlineStr">
        <is>
          <t>2026-10-24</t>
        </is>
      </c>
    </row>
  </sheetData>
  <mergeCells count="1">
    <mergeCell ref="A2:G2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50" customWidth="1" min="4" max="4"/>
  </cols>
  <sheetData>
    <row r="1">
      <c r="A1" s="1" t="inlineStr">
        <is>
          <t>Costo de la operación manual actual</t>
        </is>
      </c>
      <c r="B1" s="2" t="n"/>
      <c r="C1" s="2" t="n"/>
      <c r="D1" s="2" t="n"/>
    </row>
    <row r="2" ht="45" customHeight="1">
      <c r="A2" s="3" t="inlineStr">
        <is>
          <t>Un operador por turno por estación, 24×5. Costos en USD por mes.</t>
        </is>
      </c>
    </row>
    <row r="4">
      <c r="A4" s="4" t="inlineStr">
        <is>
          <t>Concepto</t>
        </is>
      </c>
      <c r="B4" s="4" t="inlineStr">
        <is>
          <t>Colombia</t>
        </is>
      </c>
      <c r="C4" s="4" t="inlineStr">
        <is>
          <t>España</t>
        </is>
      </c>
      <c r="D4" s="4" t="inlineStr">
        <is>
          <t>Cómo se calcula</t>
        </is>
      </c>
    </row>
    <row r="5">
      <c r="A5" t="inlineStr">
        <is>
          <t>Horas de puesto por mes por estación</t>
        </is>
      </c>
      <c r="B5" s="9">
        <f>horas_mes*operadores_turno</f>
        <v/>
      </c>
      <c r="C5" s="9">
        <f>horas_mes*operadores_turno</f>
        <v/>
      </c>
      <c r="D5" t="inlineStr">
        <is>
          <t>horas_mes × operadores por turno</t>
        </is>
      </c>
    </row>
    <row r="6">
      <c r="A6" t="inlineStr">
        <is>
          <t>Horas pagadas por mes por estación (con cobertura)</t>
        </is>
      </c>
      <c r="B6" s="9">
        <f>B5*factor_cobertura</f>
        <v/>
      </c>
      <c r="C6" s="9">
        <f>C5*factor_cobertura</f>
        <v/>
      </c>
      <c r="D6" t="inlineStr">
        <is>
          <t>× factor de cobertura</t>
        </is>
      </c>
    </row>
    <row r="7">
      <c r="A7" t="inlineStr">
        <is>
          <t>Costo cargado por hora</t>
        </is>
      </c>
      <c r="B7" s="12">
        <f>costo_hora_co</f>
        <v/>
      </c>
      <c r="C7" s="12">
        <f>costo_hora_es</f>
        <v/>
      </c>
      <c r="D7" t="inlineStr">
        <is>
          <t>Ver Supuestos</t>
        </is>
      </c>
    </row>
    <row r="8">
      <c r="A8" t="inlineStr">
        <is>
          <t>Costo mensual por estación</t>
        </is>
      </c>
      <c r="B8" s="16">
        <f>B6*B7</f>
        <v/>
      </c>
      <c r="C8" s="16">
        <f>C6*C7</f>
        <v/>
      </c>
      <c r="D8" t="inlineStr">
        <is>
          <t>Horas pagadas × costo hora</t>
        </is>
      </c>
    </row>
    <row r="9">
      <c r="A9" t="inlineStr">
        <is>
          <t>Estaciones</t>
        </is>
      </c>
      <c r="B9" s="14">
        <f>estaciones</f>
        <v/>
      </c>
      <c r="C9" s="14">
        <f>estaciones</f>
        <v/>
      </c>
      <c r="D9" t="inlineStr"/>
    </row>
    <row r="10">
      <c r="A10" s="17" t="inlineStr">
        <is>
          <t>Costo mensual de la operación actual</t>
        </is>
      </c>
      <c r="B10" s="18">
        <f>B8*B9*plantas</f>
        <v/>
      </c>
      <c r="C10" s="18">
        <f>C8*C9*plantas</f>
        <v/>
      </c>
      <c r="D10" t="inlineStr">
        <is>
          <t>Por estación × estaciones × plantas</t>
        </is>
      </c>
    </row>
    <row r="11">
      <c r="A11" t="inlineStr">
        <is>
          <t>Costo anual de la operación actual</t>
        </is>
      </c>
      <c r="B11" s="16">
        <f>B10*12</f>
        <v/>
      </c>
      <c r="C11" s="16">
        <f>C10*12</f>
        <v/>
      </c>
      <c r="D11" t="inlineStr"/>
    </row>
    <row r="12">
      <c r="A12" t="inlineStr">
        <is>
          <t>Personas en nómina equivalentes (FTE)</t>
        </is>
      </c>
      <c r="B12" s="9">
        <f>B6*B9*plantas/horas_lab_mes_co</f>
        <v/>
      </c>
      <c r="C12" s="9">
        <f>C6*C9*plantas/(horas_anuales_es/12)</f>
        <v/>
      </c>
      <c r="D12" t="inlineStr">
        <is>
          <t>Horas pagadas / horas contratadas por persona</t>
        </is>
      </c>
    </row>
  </sheetData>
  <mergeCells count="1"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13" customWidth="1" min="3" max="3"/>
    <col width="14" customWidth="1" min="4" max="4"/>
    <col width="14" customWidth="1" min="5" max="5"/>
    <col width="9" customWidth="1" min="6" max="6"/>
    <col width="15" customWidth="1" min="7" max="7"/>
    <col width="15" customWidth="1" min="8" max="8"/>
    <col width="15" customWidth="1" min="9" max="9"/>
    <col width="46" customWidth="1" min="10" max="10"/>
    <col width="12" customWidth="1" min="11" max="11"/>
    <col width="52" customWidth="1" min="12" max="12"/>
  </cols>
  <sheetData>
    <row r="1">
      <c r="A1" s="1" t="inlineStr">
        <is>
          <t>Azure — costo mensual por servicio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45" customHeight="1">
      <c r="A2" s="3" t="inlineStr">
        <is>
          <t>Región de referencia: East US 2 (precios de la API pública de Azure, 2026-10-24). Para plantas en España usar Spain Central / West Europe: precios ~10-40% mayores según servicio (p. ej. Container Apps vCPU 0,000034 vs 0,000024 USD/s). Precio × cantidad × incluir = costo. Filas 'Estimado' (naranja) deben verificarse.</t>
        </is>
      </c>
    </row>
    <row r="4">
      <c r="A4" s="4" t="inlineStr">
        <is>
          <t>Servicio</t>
        </is>
      </c>
      <c r="B4" s="4" t="inlineStr">
        <is>
          <t>SKU / medidor</t>
        </is>
      </c>
      <c r="C4" s="4" t="inlineStr">
        <is>
          <t>Precio unitario (USD)</t>
        </is>
      </c>
      <c r="D4" s="4" t="inlineStr">
        <is>
          <t>Unidad de precio</t>
        </is>
      </c>
      <c r="E4" s="4" t="inlineStr">
        <is>
          <t>Cantidad mensual</t>
        </is>
      </c>
      <c r="F4" s="4" t="inlineStr">
        <is>
          <t>Incluir (1/0)</t>
        </is>
      </c>
      <c r="G4" s="4" t="inlineStr">
        <is>
          <t>Costo mensual (USD)</t>
        </is>
      </c>
      <c r="H4" s="4" t="inlineStr">
        <is>
          <t>Tipo</t>
        </is>
      </c>
      <c r="I4" s="4" t="inlineStr">
        <is>
          <t>Estado del precio</t>
        </is>
      </c>
      <c r="J4" s="4" t="inlineStr">
        <is>
          <t>Fuente</t>
        </is>
      </c>
      <c r="K4" s="4" t="inlineStr">
        <is>
          <t>Fecha consulta</t>
        </is>
      </c>
      <c r="L4" s="4" t="inlineStr">
        <is>
          <t>Cómo se calcula la cantidad</t>
        </is>
      </c>
    </row>
    <row r="5">
      <c r="A5" s="5" t="inlineStr">
        <is>
          <t>Plano de nube — cómputo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19" t="inlineStr">
        <is>
          <t>Azure Container Apps (agente)</t>
        </is>
      </c>
      <c r="B6" s="20" t="inlineStr">
        <is>
          <t>Consumo · vCPU activa (0,5 vCPU)</t>
        </is>
      </c>
      <c r="C6" s="21" t="n">
        <v>2.4e-05</v>
      </c>
      <c r="D6" s="19" t="inlineStr">
        <is>
          <t>vCPU-segundo</t>
        </is>
      </c>
      <c r="E6" s="9">
        <f>0.5*3600*horas_mes</f>
        <v/>
      </c>
      <c r="F6" s="22" t="n">
        <v>1</v>
      </c>
      <c r="G6" s="12">
        <f>C6*E6*F6</f>
        <v/>
      </c>
      <c r="H6" s="19" t="inlineStr">
        <is>
          <t>Plataforma fija</t>
        </is>
      </c>
      <c r="I6" s="19" t="inlineStr">
        <is>
          <t>API verificada</t>
        </is>
      </c>
      <c r="J6" s="20" t="inlineStr">
        <is>
          <t>https://prices.azure.com/api/retail/prices (eastus2)</t>
        </is>
      </c>
      <c r="K6" s="19" t="inlineStr">
        <is>
          <t>2026-10-24</t>
        </is>
      </c>
      <c r="L6" s="20" t="inlineStr">
        <is>
          <t>0,5 vCPU × horas de operación (min. 1 réplica en turno; escala a 0 fines de semana). No descuenta la cuota gratuita mensual (conservador)</t>
        </is>
      </c>
    </row>
    <row r="7">
      <c r="A7" s="19" t="inlineStr">
        <is>
          <t>Azure Container Apps (agente)</t>
        </is>
      </c>
      <c r="B7" s="20" t="inlineStr">
        <is>
          <t>Consumo · memoria activa (1 GiB)</t>
        </is>
      </c>
      <c r="C7" s="21" t="n">
        <v>3e-06</v>
      </c>
      <c r="D7" s="19" t="inlineStr">
        <is>
          <t>GiB-segundo</t>
        </is>
      </c>
      <c r="E7" s="9">
        <f>1*3600*horas_mes</f>
        <v/>
      </c>
      <c r="F7" s="22" t="n">
        <v>1</v>
      </c>
      <c r="G7" s="12">
        <f>C7*E7*F7</f>
        <v/>
      </c>
      <c r="H7" s="19" t="inlineStr">
        <is>
          <t>Plataforma fija</t>
        </is>
      </c>
      <c r="I7" s="19" t="inlineStr">
        <is>
          <t>API verificada</t>
        </is>
      </c>
      <c r="J7" s="20" t="inlineStr">
        <is>
          <t>https://prices.azure.com/api/retail/prices (eastus2)</t>
        </is>
      </c>
      <c r="K7" s="19" t="inlineStr">
        <is>
          <t>2026-10-24</t>
        </is>
      </c>
      <c r="L7" s="20" t="inlineStr">
        <is>
          <t>1 GiB × horas de operación</t>
        </is>
      </c>
    </row>
    <row r="8">
      <c r="A8" s="19" t="inlineStr">
        <is>
          <t>Azure Container Apps (visión no tiempo real)</t>
        </is>
      </c>
      <c r="B8" s="20" t="inlineStr">
        <is>
          <t>Consumo · vCPU + memoria (1 vCPU, 2 GiB)</t>
        </is>
      </c>
      <c r="C8" s="21" t="n">
        <v>3e-05</v>
      </c>
      <c r="D8" s="19" t="inlineStr">
        <is>
          <t>segundo</t>
        </is>
      </c>
      <c r="E8" s="9">
        <f>3600*horas_activas_vision_cloud</f>
        <v/>
      </c>
      <c r="F8" s="22" t="n">
        <v>1</v>
      </c>
      <c r="G8" s="12">
        <f>C8*E8*F8</f>
        <v/>
      </c>
      <c r="H8" s="19" t="inlineStr">
        <is>
          <t>Plataforma fija</t>
        </is>
      </c>
      <c r="I8" s="19" t="inlineStr">
        <is>
          <t>API verificada</t>
        </is>
      </c>
      <c r="J8" s="20" t="inlineStr">
        <is>
          <t>https://prices.azure.com/api/retail/prices (eastus2)</t>
        </is>
      </c>
      <c r="K8" s="19" t="inlineStr">
        <is>
          <t>2026-10-24</t>
        </is>
      </c>
      <c r="L8" s="20" t="inlineStr">
        <is>
          <t>1×0,000024 + 2×0,000003 por segundo activo; escala a cero</t>
        </is>
      </c>
    </row>
    <row r="9">
      <c r="A9" s="19" t="inlineStr">
        <is>
          <t>Azure Container Registry</t>
        </is>
      </c>
      <c r="B9" s="20" t="inlineStr">
        <is>
          <t>Basic</t>
        </is>
      </c>
      <c r="C9" s="21" t="n">
        <v>0.1666</v>
      </c>
      <c r="D9" s="19" t="inlineStr">
        <is>
          <t>día</t>
        </is>
      </c>
      <c r="E9" s="9">
        <f>30.4</f>
        <v/>
      </c>
      <c r="F9" s="22" t="n">
        <v>1</v>
      </c>
      <c r="G9" s="12">
        <f>C9*E9*F9</f>
        <v/>
      </c>
      <c r="H9" s="19" t="inlineStr">
        <is>
          <t>Plataforma fija</t>
        </is>
      </c>
      <c r="I9" s="19" t="inlineStr">
        <is>
          <t>API verificada</t>
        </is>
      </c>
      <c r="J9" s="20" t="inlineStr">
        <is>
          <t>https://prices.azure.com/api/retail/prices (eastus2)</t>
        </is>
      </c>
      <c r="K9" s="19" t="inlineStr">
        <is>
          <t>2026-10-24</t>
        </is>
      </c>
      <c r="L9" s="20" t="inlineStr">
        <is>
          <t>Imágenes de contenedor para nube y borde</t>
        </is>
      </c>
    </row>
    <row r="10">
      <c r="A10" s="19" t="inlineStr">
        <is>
          <t>Azure Machine Learning</t>
        </is>
      </c>
      <c r="B10" s="20" t="inlineStr">
        <is>
          <t>Compute cluster CPU (D4s_v3 aprox.)</t>
        </is>
      </c>
      <c r="C10" s="21" t="n">
        <v>0.2</v>
      </c>
      <c r="D10" s="19" t="inlineStr">
        <is>
          <t>hora</t>
        </is>
      </c>
      <c r="E10" s="9">
        <f>horas_entrenamiento</f>
        <v/>
      </c>
      <c r="F10" s="22" t="n">
        <v>1</v>
      </c>
      <c r="G10" s="12">
        <f>C10*E10*F10</f>
        <v/>
      </c>
      <c r="H10" s="19" t="inlineStr">
        <is>
          <t>Plataforma fija</t>
        </is>
      </c>
      <c r="I10" s="19" t="inlineStr">
        <is>
          <t>Estimado</t>
        </is>
      </c>
      <c r="J10" s="20" t="inlineStr">
        <is>
          <t>https://azure.microsoft.com/pricing/details/machine-learning/</t>
        </is>
      </c>
      <c r="K10" s="19" t="inlineStr">
        <is>
          <t>2026-10-24</t>
        </is>
      </c>
      <c r="L10" s="20" t="inlineStr">
        <is>
          <t>Workspace sin cargo; solo se paga cómputo. Cluster escala a 0</t>
        </is>
      </c>
    </row>
    <row r="11">
      <c r="A11" s="5" t="inlineStr">
        <is>
          <t>Plano de nube — datos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</row>
    <row r="12">
      <c r="A12" s="19" t="inlineStr">
        <is>
          <t>Azure Database for PostgreSQL Flexible</t>
        </is>
      </c>
      <c r="B12" s="20" t="inlineStr">
        <is>
          <t>General Purpose D2ds_v5 (2 vCore)</t>
        </is>
      </c>
      <c r="C12" s="21" t="n">
        <v>0.178</v>
      </c>
      <c r="D12" s="19" t="inlineStr">
        <is>
          <t>hora</t>
        </is>
      </c>
      <c r="E12" s="9">
        <f>730*replicas_bd</f>
        <v/>
      </c>
      <c r="F12" s="22" t="n">
        <v>1</v>
      </c>
      <c r="G12" s="12">
        <f>C12*E12*F12</f>
        <v/>
      </c>
      <c r="H12" s="19" t="inlineStr">
        <is>
          <t>Plataforma fija</t>
        </is>
      </c>
      <c r="I12" s="19" t="inlineStr">
        <is>
          <t>API verificada</t>
        </is>
      </c>
      <c r="J12" s="20" t="inlineStr">
        <is>
          <t>https://prices.azure.com/api/retail/prices (eastus2)</t>
        </is>
      </c>
      <c r="K12" s="19" t="inlineStr">
        <is>
          <t>2026-10-24</t>
        </is>
      </c>
      <c r="L12" s="20" t="inlineStr">
        <is>
          <t>0,089 USD/vCore-h × 2 vCore. Réplica HA de zona duplica cómputo</t>
        </is>
      </c>
    </row>
    <row r="13">
      <c r="A13" s="19" t="inlineStr">
        <is>
          <t>Azure Database for PostgreSQL Flexible</t>
        </is>
      </c>
      <c r="B13" s="20" t="inlineStr">
        <is>
          <t>Almacenamiento SSD</t>
        </is>
      </c>
      <c r="C13" s="21" t="n">
        <v>0.115</v>
      </c>
      <c r="D13" s="19" t="inlineStr">
        <is>
          <t>GB-mes</t>
        </is>
      </c>
      <c r="E13" s="9">
        <f>64*replicas_bd</f>
        <v/>
      </c>
      <c r="F13" s="22" t="n">
        <v>1</v>
      </c>
      <c r="G13" s="12">
        <f>C13*E13*F13</f>
        <v/>
      </c>
      <c r="H13" s="19" t="inlineStr">
        <is>
          <t>Plataforma fija</t>
        </is>
      </c>
      <c r="I13" s="19" t="inlineStr">
        <is>
          <t>API verificada</t>
        </is>
      </c>
      <c r="J13" s="20" t="inlineStr">
        <is>
          <t>https://prices.azure.com/api/retail/prices (eastus2)</t>
        </is>
      </c>
      <c r="K13" s="19" t="inlineStr">
        <is>
          <t>2026-10-24</t>
        </is>
      </c>
      <c r="L13" s="20" t="inlineStr">
        <is>
          <t>64 GB por réplica</t>
        </is>
      </c>
    </row>
    <row r="14">
      <c r="A14" s="19" t="inlineStr">
        <is>
          <t>Azure AI Search</t>
        </is>
      </c>
      <c r="B14" s="20" t="inlineStr">
        <is>
          <t>Basic (1 unidad, 15 GB, semántico incluido en cuota gratuita)</t>
        </is>
      </c>
      <c r="C14" s="21" t="n">
        <v>0.101</v>
      </c>
      <c r="D14" s="19" t="inlineStr">
        <is>
          <t>hora</t>
        </is>
      </c>
      <c r="E14" s="9">
        <f>730</f>
        <v/>
      </c>
      <c r="F14" s="22" t="n">
        <v>1</v>
      </c>
      <c r="G14" s="12">
        <f>C14*E14*F14</f>
        <v/>
      </c>
      <c r="H14" s="19" t="inlineStr">
        <is>
          <t>Plataforma fija</t>
        </is>
      </c>
      <c r="I14" s="19" t="inlineStr">
        <is>
          <t>API verificada</t>
        </is>
      </c>
      <c r="J14" s="20" t="inlineStr">
        <is>
          <t>https://prices.azure.com/api/retail/prices (eastus2)</t>
        </is>
      </c>
      <c r="K14" s="19" t="inlineStr">
        <is>
          <t>2026-10-24</t>
        </is>
      </c>
      <c r="L14" s="20" t="inlineStr">
        <is>
          <t>Índice de SOP/manuales con búsqueda híbrida. Alternativa más barata: pgvector en la misma PostgreSQL</t>
        </is>
      </c>
    </row>
    <row r="15">
      <c r="A15" s="19" t="inlineStr">
        <is>
          <t>Azure OpenAI</t>
        </is>
      </c>
      <c r="B15" s="20" t="inlineStr">
        <is>
          <t>text-embedding-3-small</t>
        </is>
      </c>
      <c r="C15" s="21" t="n">
        <v>2e-05</v>
      </c>
      <c r="D15" s="19" t="inlineStr">
        <is>
          <t>1K tokens</t>
        </is>
      </c>
      <c r="E15" s="9">
        <f>tok_embed_mes/1000</f>
        <v/>
      </c>
      <c r="F15" s="22" t="n">
        <v>1</v>
      </c>
      <c r="G15" s="12">
        <f>C15*E15*F15</f>
        <v/>
      </c>
      <c r="H15" s="19" t="inlineStr">
        <is>
          <t>Plataforma fija</t>
        </is>
      </c>
      <c r="I15" s="19" t="inlineStr">
        <is>
          <t>Estimado</t>
        </is>
      </c>
      <c r="J15" s="20" t="inlineStr">
        <is>
          <t>https://azure.microsoft.com/pricing/details/cognitive-services/openai-service/</t>
        </is>
      </c>
      <c r="K15" s="19" t="inlineStr">
        <is>
          <t>2026-10-24</t>
        </is>
      </c>
      <c r="L15" s="20" t="inlineStr">
        <is>
          <t>Reindexado de SOP</t>
        </is>
      </c>
    </row>
    <row r="16">
      <c r="A16" s="19" t="inlineStr">
        <is>
          <t>Azure Blob Storage</t>
        </is>
      </c>
      <c r="B16" s="20" t="inlineStr">
        <is>
          <t>Hot LRS (imágenes recientes)</t>
        </is>
      </c>
      <c r="C16" s="21" t="n">
        <v>0.0184</v>
      </c>
      <c r="D16" s="19" t="inlineStr">
        <is>
          <t>GB-mes</t>
        </is>
      </c>
      <c r="E16" s="9">
        <f>gb_imagenes_mes_est*estaciones*dias_hot/30</f>
        <v/>
      </c>
      <c r="F16" s="22" t="n">
        <v>1</v>
      </c>
      <c r="G16" s="12">
        <f>C16*E16*F16</f>
        <v/>
      </c>
      <c r="H16" s="19" t="inlineStr">
        <is>
          <t>Por estación</t>
        </is>
      </c>
      <c r="I16" s="19" t="inlineStr">
        <is>
          <t>API verificada</t>
        </is>
      </c>
      <c r="J16" s="20" t="inlineStr">
        <is>
          <t>https://prices.azure.com/api/retail/prices (eastus2)</t>
        </is>
      </c>
      <c r="K16" s="19" t="inlineStr">
        <is>
          <t>2026-10-24</t>
        </is>
      </c>
      <c r="L16" s="20" t="inlineStr">
        <is>
          <t>Stock en Hot = GB/mes × días en Hot / 30</t>
        </is>
      </c>
    </row>
    <row r="17">
      <c r="A17" s="19" t="inlineStr">
        <is>
          <t>Azure Blob Storage</t>
        </is>
      </c>
      <c r="B17" s="20" t="inlineStr">
        <is>
          <t>Cool LRS</t>
        </is>
      </c>
      <c r="C17" s="21" t="n">
        <v>0.01</v>
      </c>
      <c r="D17" s="19" t="inlineStr">
        <is>
          <t>GB-mes</t>
        </is>
      </c>
      <c r="E17" s="9">
        <f>gb_imagenes_mes_est*estaciones*dias_cool/30</f>
        <v/>
      </c>
      <c r="F17" s="22" t="n">
        <v>1</v>
      </c>
      <c r="G17" s="12">
        <f>C17*E17*F17</f>
        <v/>
      </c>
      <c r="H17" s="19" t="inlineStr">
        <is>
          <t>Por estación</t>
        </is>
      </c>
      <c r="I17" s="19" t="inlineStr">
        <is>
          <t>API verificada</t>
        </is>
      </c>
      <c r="J17" s="20" t="inlineStr">
        <is>
          <t>https://prices.azure.com/api/retail/prices (eastus2)</t>
        </is>
      </c>
      <c r="K17" s="19" t="inlineStr">
        <is>
          <t>2026-10-24</t>
        </is>
      </c>
      <c r="L17" s="20" t="inlineStr">
        <is>
          <t>Política de ciclo de vida: Hot→Cool día 30</t>
        </is>
      </c>
    </row>
    <row r="18">
      <c r="A18" s="19" t="inlineStr">
        <is>
          <t>Azure Blob Storage</t>
        </is>
      </c>
      <c r="B18" s="20" t="inlineStr">
        <is>
          <t>Archive LRS</t>
        </is>
      </c>
      <c r="C18" s="21" t="n">
        <v>0.002</v>
      </c>
      <c r="D18" s="19" t="inlineStr">
        <is>
          <t>GB-mes</t>
        </is>
      </c>
      <c r="E18" s="9">
        <f>gb_imagenes_mes_est*estaciones*dias_archivo/30</f>
        <v/>
      </c>
      <c r="F18" s="22" t="n">
        <v>1</v>
      </c>
      <c r="G18" s="12">
        <f>C18*E18*F18</f>
        <v/>
      </c>
      <c r="H18" s="19" t="inlineStr">
        <is>
          <t>Por estación</t>
        </is>
      </c>
      <c r="I18" s="19" t="inlineStr">
        <is>
          <t>API verificada</t>
        </is>
      </c>
      <c r="J18" s="20" t="inlineStr">
        <is>
          <t>https://prices.azure.com/api/retail/prices (eastus2)</t>
        </is>
      </c>
      <c r="K18" s="19" t="inlineStr">
        <is>
          <t>2026-10-24</t>
        </is>
      </c>
      <c r="L18" s="20" t="inlineStr">
        <is>
          <t>Cool→Archive día 180; borrar a 3 años</t>
        </is>
      </c>
    </row>
    <row r="19">
      <c r="A19" s="19" t="inlineStr">
        <is>
          <t>Azure Blob Storage</t>
        </is>
      </c>
      <c r="B19" s="20" t="inlineStr">
        <is>
          <t>Transacciones y recuperaciones (aprox.)</t>
        </is>
      </c>
      <c r="C19" s="21" t="n">
        <v>5</v>
      </c>
      <c r="D19" s="19" t="inlineStr">
        <is>
          <t>mes</t>
        </is>
      </c>
      <c r="E19" s="9">
        <f>estaciones</f>
        <v/>
      </c>
      <c r="F19" s="22" t="n">
        <v>1</v>
      </c>
      <c r="G19" s="12">
        <f>C19*E19*F19</f>
        <v/>
      </c>
      <c r="H19" s="19" t="inlineStr">
        <is>
          <t>Por estación</t>
        </is>
      </c>
      <c r="I19" s="19" t="inlineStr">
        <is>
          <t>Estimado</t>
        </is>
      </c>
      <c r="J19" s="20" t="inlineStr">
        <is>
          <t>https://azure.microsoft.com/pricing/details/storage/blobs/</t>
        </is>
      </c>
      <c r="K19" s="19" t="inlineStr">
        <is>
          <t>2026-10-24</t>
        </is>
      </c>
      <c r="L19" s="20" t="inlineStr">
        <is>
          <t>Escrituras + lecturas desde la cola de revisión</t>
        </is>
      </c>
    </row>
    <row r="20">
      <c r="A20" s="5" t="inlineStr">
        <is>
          <t>Borde y dispositivos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1">
      <c r="A21" s="19" t="inlineStr">
        <is>
          <t>Azure IoT Hub</t>
        </is>
      </c>
      <c r="B21" s="20" t="inlineStr">
        <is>
          <t>S1 (400.000 msgs/día por unidad)</t>
        </is>
      </c>
      <c r="C21" s="21" t="n">
        <v>25</v>
      </c>
      <c r="D21" s="19" t="inlineStr">
        <is>
          <t>unidad-mes</t>
        </is>
      </c>
      <c r="E21" s="9">
        <f>MAX(1,ROUNDUP(msgs_dia_estacion*estaciones/400000,0))</f>
        <v/>
      </c>
      <c r="F21" s="22" t="n">
        <v>1</v>
      </c>
      <c r="G21" s="12">
        <f>C21*E21*F21</f>
        <v/>
      </c>
      <c r="H21" s="19" t="inlineStr">
        <is>
          <t>Plataforma fija</t>
        </is>
      </c>
      <c r="I21" s="19" t="inlineStr">
        <is>
          <t>API verificada</t>
        </is>
      </c>
      <c r="J21" s="20" t="inlineStr">
        <is>
          <t>https://prices.azure.com/api/retail/prices (eastus2)</t>
        </is>
      </c>
      <c r="K21" s="19" t="inlineStr">
        <is>
          <t>2026-10-24</t>
        </is>
      </c>
      <c r="L21" s="20" t="inlineStr">
        <is>
          <t>Unidades = msgs/día / 400k. Incluye device twins y despliegue de módulos IoT Edge</t>
        </is>
      </c>
    </row>
    <row r="22">
      <c r="A22" s="19" t="inlineStr">
        <is>
          <t>Azure IoT Edge runtime</t>
        </is>
      </c>
      <c r="B22" s="20" t="inlineStr">
        <is>
          <t>Runtime open source en el PC industrial</t>
        </is>
      </c>
      <c r="C22" s="21" t="n">
        <v>0</v>
      </c>
      <c r="D22" s="19" t="inlineStr">
        <is>
          <t>dispositivo-mes</t>
        </is>
      </c>
      <c r="E22" s="9">
        <f>estaciones</f>
        <v/>
      </c>
      <c r="F22" s="22" t="n">
        <v>1</v>
      </c>
      <c r="G22" s="12">
        <f>C22*E22*F22</f>
        <v/>
      </c>
      <c r="H22" s="19" t="inlineStr">
        <is>
          <t>Por estación</t>
        </is>
      </c>
      <c r="I22" s="19" t="inlineStr">
        <is>
          <t>API verificada</t>
        </is>
      </c>
      <c r="J22" s="20" t="inlineStr">
        <is>
          <t>https://azure.microsoft.com/products/iot-edge/</t>
        </is>
      </c>
      <c r="K22" s="19" t="inlineStr">
        <is>
          <t>2026-10-24</t>
        </is>
      </c>
      <c r="L22" s="20" t="inlineStr">
        <is>
          <t>Sin cargo de licencia; se paga IoT Hub</t>
        </is>
      </c>
    </row>
    <row r="23">
      <c r="A23" s="19" t="inlineStr">
        <is>
          <t>AKS Edge Essentials (alternativa)</t>
        </is>
      </c>
      <c r="B23" s="20" t="inlineStr">
        <is>
          <t>Licencia por dispositivo</t>
        </is>
      </c>
      <c r="C23" s="21" t="n">
        <v>2.5</v>
      </c>
      <c r="D23" s="19" t="inlineStr">
        <is>
          <t>dispositivo-mes</t>
        </is>
      </c>
      <c r="E23" s="9">
        <f>estaciones</f>
        <v/>
      </c>
      <c r="F23" s="22" t="n">
        <v>0</v>
      </c>
      <c r="G23" s="12">
        <f>C23*E23*F23</f>
        <v/>
      </c>
      <c r="H23" s="19" t="inlineStr">
        <is>
          <t>Por estación</t>
        </is>
      </c>
      <c r="I23" s="19" t="inlineStr">
        <is>
          <t>API verificada</t>
        </is>
      </c>
      <c r="J23" s="20" t="inlineStr">
        <is>
          <t>https://prices.azure.com/api/retail/prices (eastus2)</t>
        </is>
      </c>
      <c r="K23" s="19" t="inlineStr">
        <is>
          <t>2026-10-24</t>
        </is>
      </c>
      <c r="L23" s="20" t="inlineStr">
        <is>
          <t>Solo si se elige Kubernetes en el borde (Incluir=1)</t>
        </is>
      </c>
    </row>
    <row r="24">
      <c r="A24" s="19" t="inlineStr">
        <is>
          <t>Defender for Servers P2 (vía Azure Arc)</t>
        </is>
      </c>
      <c r="B24" s="20" t="inlineStr">
        <is>
          <t>Por PC industrial</t>
        </is>
      </c>
      <c r="C24" s="21" t="n">
        <v>0.02</v>
      </c>
      <c r="D24" s="19" t="inlineStr">
        <is>
          <t>nodo-hora</t>
        </is>
      </c>
      <c r="E24" s="9">
        <f>730*estaciones</f>
        <v/>
      </c>
      <c r="F24" s="22" t="n">
        <v>1</v>
      </c>
      <c r="G24" s="12">
        <f>C24*E24*F24</f>
        <v/>
      </c>
      <c r="H24" s="19" t="inlineStr">
        <is>
          <t>Por estación</t>
        </is>
      </c>
      <c r="I24" s="19" t="inlineStr">
        <is>
          <t>API verificada</t>
        </is>
      </c>
      <c r="J24" s="20" t="inlineStr">
        <is>
          <t>https://prices.azure.com/api/retail/prices (eastus2)</t>
        </is>
      </c>
      <c r="K24" s="19" t="inlineStr">
        <is>
          <t>2026-10-24</t>
        </is>
      </c>
      <c r="L24" s="20" t="inlineStr">
        <is>
          <t>EDR y gestión de vulnerabilidades del PC de borde</t>
        </is>
      </c>
    </row>
    <row r="25">
      <c r="A25" s="5" t="inlineStr">
        <is>
          <t>Seguridad, red y observabilidad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</row>
    <row r="26">
      <c r="A26" s="19" t="inlineStr">
        <is>
          <t>Azure Key Vault</t>
        </is>
      </c>
      <c r="B26" s="20" t="inlineStr">
        <is>
          <t>Standard · operaciones</t>
        </is>
      </c>
      <c r="C26" s="21" t="n">
        <v>0.03</v>
      </c>
      <c r="D26" s="19" t="inlineStr">
        <is>
          <t>10K ops</t>
        </is>
      </c>
      <c r="E26" s="9">
        <f>20</f>
        <v/>
      </c>
      <c r="F26" s="22" t="n">
        <v>1</v>
      </c>
      <c r="G26" s="12">
        <f>C26*E26*F26</f>
        <v/>
      </c>
      <c r="H26" s="19" t="inlineStr">
        <is>
          <t>Plataforma fija</t>
        </is>
      </c>
      <c r="I26" s="19" t="inlineStr">
        <is>
          <t>API verificada</t>
        </is>
      </c>
      <c r="J26" s="20" t="inlineStr">
        <is>
          <t>https://prices.azure.com/api/retail/prices (eastus2)</t>
        </is>
      </c>
      <c r="K26" s="19" t="inlineStr">
        <is>
          <t>2026-10-24</t>
        </is>
      </c>
      <c r="L26" s="20" t="inlineStr">
        <is>
          <t>~200K operaciones/mes (con caché de secretos)</t>
        </is>
      </c>
    </row>
    <row r="27">
      <c r="A27" s="19" t="inlineStr">
        <is>
          <t>Private Endpoints</t>
        </is>
      </c>
      <c r="B27" s="20" t="inlineStr">
        <is>
          <t>Por endpoint (Storage, PostgreSQL, Key Vault, OpenAI, Search)</t>
        </is>
      </c>
      <c r="C27" s="21" t="n">
        <v>0.01</v>
      </c>
      <c r="D27" s="19" t="inlineStr">
        <is>
          <t>hora</t>
        </is>
      </c>
      <c r="E27" s="9">
        <f>5*730</f>
        <v/>
      </c>
      <c r="F27" s="22" t="n">
        <v>1</v>
      </c>
      <c r="G27" s="12">
        <f>C27*E27*F27</f>
        <v/>
      </c>
      <c r="H27" s="19" t="inlineStr">
        <is>
          <t>Plataforma fija</t>
        </is>
      </c>
      <c r="I27" s="19" t="inlineStr">
        <is>
          <t>Estimado</t>
        </is>
      </c>
      <c r="J27" s="20" t="inlineStr">
        <is>
          <t>https://azure.microsoft.com/pricing/details/private-link/</t>
        </is>
      </c>
      <c r="K27" s="19" t="inlineStr">
        <is>
          <t>2026-10-24</t>
        </is>
      </c>
      <c r="L27" s="20" t="inlineStr">
        <is>
          <t>5 endpoints × 730 h (+ 0,01 USD/GB procesado, despreciable)</t>
        </is>
      </c>
    </row>
    <row r="28">
      <c r="A28" s="19" t="inlineStr">
        <is>
          <t>Log Analytics + Application Insights</t>
        </is>
      </c>
      <c r="B28" s="20" t="inlineStr">
        <is>
          <t>Analytics Logs · ingesta</t>
        </is>
      </c>
      <c r="C28" s="21" t="n">
        <v>2.76</v>
      </c>
      <c r="D28" s="19" t="inlineStr">
        <is>
          <t>GB</t>
        </is>
      </c>
      <c r="E28" s="9">
        <f>MAX(0,gb_logs_mes-5)</f>
        <v/>
      </c>
      <c r="F28" s="22" t="n">
        <v>1</v>
      </c>
      <c r="G28" s="12">
        <f>C28*E28*F28</f>
        <v/>
      </c>
      <c r="H28" s="19" t="inlineStr">
        <is>
          <t>Plataforma fija</t>
        </is>
      </c>
      <c r="I28" s="19" t="inlineStr">
        <is>
          <t>API verificada</t>
        </is>
      </c>
      <c r="J28" s="20" t="inlineStr">
        <is>
          <t>https://prices.azure.com/api/retail/prices (eastus2)</t>
        </is>
      </c>
      <c r="K28" s="19" t="inlineStr">
        <is>
          <t>2026-10-24</t>
        </is>
      </c>
      <c r="L28" s="20" t="inlineStr">
        <is>
          <t>Primeros 5 GB/mes gratis por cuenta de facturación</t>
        </is>
      </c>
    </row>
    <row r="29">
      <c r="A29" s="19" t="inlineStr">
        <is>
          <t>Defender for Cloud</t>
        </is>
      </c>
      <c r="B29" s="20" t="inlineStr">
        <is>
          <t>Containers · escaneo de imágenes</t>
        </is>
      </c>
      <c r="C29" s="21" t="n">
        <v>0.29</v>
      </c>
      <c r="D29" s="19" t="inlineStr">
        <is>
          <t>imagen</t>
        </is>
      </c>
      <c r="E29" s="9">
        <f>10</f>
        <v/>
      </c>
      <c r="F29" s="22" t="n">
        <v>1</v>
      </c>
      <c r="G29" s="12">
        <f>C29*E29*F29</f>
        <v/>
      </c>
      <c r="H29" s="19" t="inlineStr">
        <is>
          <t>Plataforma fija</t>
        </is>
      </c>
      <c r="I29" s="19" t="inlineStr">
        <is>
          <t>API verificada</t>
        </is>
      </c>
      <c r="J29" s="20" t="inlineStr">
        <is>
          <t>https://prices.azure.com/api/retail/prices (eastus2)</t>
        </is>
      </c>
      <c r="K29" s="19" t="inlineStr">
        <is>
          <t>2026-10-24</t>
        </is>
      </c>
      <c r="L29" s="20" t="inlineStr">
        <is>
          <t>~10 imágenes nuevas/mes</t>
        </is>
      </c>
    </row>
    <row r="30">
      <c r="A30" s="19" t="inlineStr">
        <is>
          <t>Defender for Cloud</t>
        </is>
      </c>
      <c r="B30" s="20" t="inlineStr">
        <is>
          <t>Storage (por cuenta, aprox.)</t>
        </is>
      </c>
      <c r="C30" s="21" t="n">
        <v>10</v>
      </c>
      <c r="D30" s="19" t="inlineStr">
        <is>
          <t>cuenta-mes</t>
        </is>
      </c>
      <c r="E30" s="9">
        <f>1</f>
        <v/>
      </c>
      <c r="F30" s="22" t="n">
        <v>1</v>
      </c>
      <c r="G30" s="12">
        <f>C30*E30*F30</f>
        <v/>
      </c>
      <c r="H30" s="19" t="inlineStr">
        <is>
          <t>Plataforma fija</t>
        </is>
      </c>
      <c r="I30" s="19" t="inlineStr">
        <is>
          <t>Estimado</t>
        </is>
      </c>
      <c r="J30" s="20" t="inlineStr">
        <is>
          <t>https://azure.microsoft.com/pricing/details/defender-for-cloud/</t>
        </is>
      </c>
      <c r="K30" s="19" t="inlineStr">
        <is>
          <t>2026-10-24</t>
        </is>
      </c>
      <c r="L30" s="20" t="inlineStr">
        <is>
          <t>Detección de malware/anomalías en Blob</t>
        </is>
      </c>
    </row>
    <row r="31">
      <c r="A31" s="19" t="inlineStr">
        <is>
          <t>Azure Front Door Standard + WAF (opcional)</t>
        </is>
      </c>
      <c r="B31" s="20" t="inlineStr">
        <is>
          <t>Tarifa base</t>
        </is>
      </c>
      <c r="C31" s="21" t="n">
        <v>35</v>
      </c>
      <c r="D31" s="19" t="inlineStr">
        <is>
          <t>mes</t>
        </is>
      </c>
      <c r="E31" s="9">
        <f>1</f>
        <v/>
      </c>
      <c r="F31" s="22" t="n">
        <v>0</v>
      </c>
      <c r="G31" s="12">
        <f>C31*E31*F31</f>
        <v/>
      </c>
      <c r="H31" s="19" t="inlineStr">
        <is>
          <t>Plataforma fija</t>
        </is>
      </c>
      <c r="I31" s="19" t="inlineStr">
        <is>
          <t>Estimado</t>
        </is>
      </c>
      <c r="J31" s="20" t="inlineStr">
        <is>
          <t>https://azure.microsoft.com/pricing/details/frontdoor/</t>
        </is>
      </c>
      <c r="K31" s="19" t="inlineStr">
        <is>
          <t>2026-10-24</t>
        </is>
      </c>
      <c r="L31" s="20" t="inlineStr">
        <is>
          <t>Solo si el chat se expone fuera de la red corporativa</t>
        </is>
      </c>
    </row>
    <row r="32">
      <c r="A32" s="5" t="inlineStr">
        <is>
          <t>Asistente agéntico (LLM)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</row>
    <row r="33">
      <c r="A33" s="19" t="inlineStr">
        <is>
          <t>Azure OpenAI</t>
        </is>
      </c>
      <c r="B33" s="20" t="inlineStr">
        <is>
          <t>gpt-4.1-mini · Data Zone · entrada</t>
        </is>
      </c>
      <c r="C33" s="21" t="n">
        <v>0.00044</v>
      </c>
      <c r="D33" s="19" t="inlineStr">
        <is>
          <t>1K tokens</t>
        </is>
      </c>
      <c r="E33" s="9">
        <f>conv_mes*(1-pct_modelo_grande)*tok_in_conv*(1-pct_cache)/1000</f>
        <v/>
      </c>
      <c r="F33" s="22" t="n">
        <v>1</v>
      </c>
      <c r="G33" s="12">
        <f>C33*E33*F33</f>
        <v/>
      </c>
      <c r="H33" s="19" t="inlineStr">
        <is>
          <t>LLM</t>
        </is>
      </c>
      <c r="I33" s="19" t="inlineStr">
        <is>
          <t>API verificada</t>
        </is>
      </c>
      <c r="J33" s="20" t="inlineStr">
        <is>
          <t>https://prices.azure.com/api/retail/prices (eastus2)</t>
        </is>
      </c>
      <c r="K33" s="19" t="inlineStr">
        <is>
          <t>2026-10-24</t>
        </is>
      </c>
      <c r="L33" s="20" t="inlineStr">
        <is>
          <t>Modelo por defecto (85%). Data Zone = datos dentro de EE.UU./UE</t>
        </is>
      </c>
    </row>
    <row r="34">
      <c r="A34" s="19" t="inlineStr">
        <is>
          <t>Azure OpenAI</t>
        </is>
      </c>
      <c r="B34" s="20" t="inlineStr">
        <is>
          <t>gpt-4.1-mini · Data Zone · entrada en caché</t>
        </is>
      </c>
      <c r="C34" s="21" t="n">
        <v>0.00011</v>
      </c>
      <c r="D34" s="19" t="inlineStr">
        <is>
          <t>1K tokens</t>
        </is>
      </c>
      <c r="E34" s="9">
        <f>conv_mes*(1-pct_modelo_grande)*tok_in_conv*pct_cache/1000</f>
        <v/>
      </c>
      <c r="F34" s="22" t="n">
        <v>1</v>
      </c>
      <c r="G34" s="12">
        <f>C34*E34*F34</f>
        <v/>
      </c>
      <c r="H34" s="19" t="inlineStr">
        <is>
          <t>LLM</t>
        </is>
      </c>
      <c r="I34" s="19" t="inlineStr">
        <is>
          <t>API verificada</t>
        </is>
      </c>
      <c r="J34" s="20" t="inlineStr">
        <is>
          <t>https://prices.azure.com/api/retail/prices (eastus2)</t>
        </is>
      </c>
      <c r="K34" s="19" t="inlineStr">
        <is>
          <t>2026-10-24</t>
        </is>
      </c>
      <c r="L34" s="20" t="inlineStr">
        <is>
          <t>Prompt caching automático (prefijos ≥1.024 tokens)</t>
        </is>
      </c>
    </row>
    <row r="35">
      <c r="A35" s="19" t="inlineStr">
        <is>
          <t>Azure OpenAI</t>
        </is>
      </c>
      <c r="B35" s="20" t="inlineStr">
        <is>
          <t>gpt-4.1-mini · Data Zone · salida</t>
        </is>
      </c>
      <c r="C35" s="21" t="n">
        <v>0.00176</v>
      </c>
      <c r="D35" s="19" t="inlineStr">
        <is>
          <t>1K tokens</t>
        </is>
      </c>
      <c r="E35" s="9">
        <f>conv_mes*(1-pct_modelo_grande)*tok_out_conv/1000</f>
        <v/>
      </c>
      <c r="F35" s="22" t="n">
        <v>1</v>
      </c>
      <c r="G35" s="12">
        <f>C35*E35*F35</f>
        <v/>
      </c>
      <c r="H35" s="19" t="inlineStr">
        <is>
          <t>LLM</t>
        </is>
      </c>
      <c r="I35" s="19" t="inlineStr">
        <is>
          <t>API verificada</t>
        </is>
      </c>
      <c r="J35" s="20" t="inlineStr">
        <is>
          <t>https://prices.azure.com/api/retail/prices (eastus2)</t>
        </is>
      </c>
      <c r="K35" s="19" t="inlineStr">
        <is>
          <t>2026-10-24</t>
        </is>
      </c>
      <c r="L35" s="20" t="inlineStr"/>
    </row>
    <row r="36">
      <c r="A36" s="19" t="inlineStr">
        <is>
          <t>Azure OpenAI</t>
        </is>
      </c>
      <c r="B36" s="20" t="inlineStr">
        <is>
          <t>gpt-4.1 · Data Zone · entrada</t>
        </is>
      </c>
      <c r="C36" s="21" t="n">
        <v>0.0022</v>
      </c>
      <c r="D36" s="19" t="inlineStr">
        <is>
          <t>1K tokens</t>
        </is>
      </c>
      <c r="E36" s="9">
        <f>conv_mes*pct_modelo_grande*tok_in_conv*(1-pct_cache)/1000</f>
        <v/>
      </c>
      <c r="F36" s="22" t="n">
        <v>1</v>
      </c>
      <c r="G36" s="12">
        <f>C36*E36*F36</f>
        <v/>
      </c>
      <c r="H36" s="19" t="inlineStr">
        <is>
          <t>LLM</t>
        </is>
      </c>
      <c r="I36" s="19" t="inlineStr">
        <is>
          <t>Estimado</t>
        </is>
      </c>
      <c r="J36" s="20" t="inlineStr">
        <is>
          <t>https://azure.microsoft.com/pricing/details/cognitive-services/openai-service/</t>
        </is>
      </c>
      <c r="K36" s="19" t="inlineStr">
        <is>
          <t>2026-10-24</t>
        </is>
      </c>
      <c r="L36" s="20" t="inlineStr">
        <is>
          <t>Modelo grande para diagnósticos (15%)</t>
        </is>
      </c>
    </row>
    <row r="37">
      <c r="A37" s="19" t="inlineStr">
        <is>
          <t>Azure OpenAI</t>
        </is>
      </c>
      <c r="B37" s="20" t="inlineStr">
        <is>
          <t>gpt-4.1 · Data Zone · entrada en caché</t>
        </is>
      </c>
      <c r="C37" s="21" t="n">
        <v>0.00055</v>
      </c>
      <c r="D37" s="19" t="inlineStr">
        <is>
          <t>1K tokens</t>
        </is>
      </c>
      <c r="E37" s="9">
        <f>conv_mes*pct_modelo_grande*tok_in_conv*pct_cache/1000</f>
        <v/>
      </c>
      <c r="F37" s="22" t="n">
        <v>1</v>
      </c>
      <c r="G37" s="12">
        <f>C37*E37*F37</f>
        <v/>
      </c>
      <c r="H37" s="19" t="inlineStr">
        <is>
          <t>LLM</t>
        </is>
      </c>
      <c r="I37" s="19" t="inlineStr">
        <is>
          <t>Estimado</t>
        </is>
      </c>
      <c r="J37" s="20" t="inlineStr">
        <is>
          <t>https://azure.microsoft.com/pricing/details/cognitive-services/openai-service/</t>
        </is>
      </c>
      <c r="K37" s="19" t="inlineStr">
        <is>
          <t>2026-10-24</t>
        </is>
      </c>
      <c r="L37" s="20" t="inlineStr"/>
    </row>
    <row r="38">
      <c r="A38" s="19" t="inlineStr">
        <is>
          <t>Azure OpenAI</t>
        </is>
      </c>
      <c r="B38" s="20" t="inlineStr">
        <is>
          <t>gpt-4.1 · Data Zone · salida</t>
        </is>
      </c>
      <c r="C38" s="21" t="n">
        <v>0.008800000000000001</v>
      </c>
      <c r="D38" s="19" t="inlineStr">
        <is>
          <t>1K tokens</t>
        </is>
      </c>
      <c r="E38" s="9">
        <f>conv_mes*pct_modelo_grande*tok_out_conv/1000</f>
        <v/>
      </c>
      <c r="F38" s="22" t="n">
        <v>1</v>
      </c>
      <c r="G38" s="12">
        <f>C38*E38*F38</f>
        <v/>
      </c>
      <c r="H38" s="19" t="inlineStr">
        <is>
          <t>LLM</t>
        </is>
      </c>
      <c r="I38" s="19" t="inlineStr">
        <is>
          <t>Estimado</t>
        </is>
      </c>
      <c r="J38" s="20" t="inlineStr">
        <is>
          <t>https://azure.microsoft.com/pricing/details/cognitive-services/openai-service/</t>
        </is>
      </c>
      <c r="K38" s="19" t="inlineStr">
        <is>
          <t>2026-10-24</t>
        </is>
      </c>
      <c r="L38" s="20" t="inlineStr"/>
    </row>
    <row r="40">
      <c r="F40" s="23" t="inlineStr">
        <is>
          <t>Subtotal Plataforma fija</t>
        </is>
      </c>
      <c r="G40" s="24">
        <f>SUMIF($H$5:$H$38,"Plataforma fija",$G$5:$G$38)</f>
        <v/>
      </c>
    </row>
    <row r="41">
      <c r="F41" s="23" t="inlineStr">
        <is>
          <t>Subtotal Por estación</t>
        </is>
      </c>
      <c r="G41" s="24">
        <f>SUMIF($H$5:$H$38,"Por estación",$G$5:$G$38)</f>
        <v/>
      </c>
    </row>
    <row r="42">
      <c r="F42" s="23" t="inlineStr">
        <is>
          <t>Subtotal LLM</t>
        </is>
      </c>
      <c r="G42" s="24">
        <f>SUMIF($H$5:$H$38,"LLM",$G$5:$G$38)</f>
        <v/>
      </c>
    </row>
    <row r="43">
      <c r="F43" s="17" t="inlineStr">
        <is>
          <t>TOTAL MENSUAL</t>
        </is>
      </c>
      <c r="G43" s="25">
        <f>SUM(G40:G42)</f>
        <v/>
      </c>
    </row>
    <row r="45">
      <c r="F45" t="inlineStr">
        <is>
          <t>Costo por estación (marginal)</t>
        </is>
      </c>
      <c r="G45" s="26">
        <f>azure_estacion_total_mes/estaciones</f>
        <v/>
      </c>
    </row>
    <row r="46">
      <c r="F46" t="inlineStr">
        <is>
          <t>Costo LLM por conversación</t>
        </is>
      </c>
      <c r="G46" s="27">
        <f>azure_llm_mes/conv_mes</f>
        <v/>
      </c>
    </row>
    <row r="47">
      <c r="F47" t="inlineStr">
        <is>
          <t>Costo por objeto procesado</t>
        </is>
      </c>
      <c r="G47" s="28">
        <f>azure_total_mes/(throughput_obj_h*horas_mes*estaciones)</f>
        <v/>
      </c>
    </row>
  </sheetData>
  <mergeCells count="1">
    <mergeCell ref="A2:L2"/>
  </mergeCells>
  <conditionalFormatting sqref="I5:I38">
    <cfRule type="cellIs" priority="1" operator="equal" dxfId="0">
      <formula>"Estimado"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4" customWidth="1" min="2" max="2"/>
    <col width="13" customWidth="1" min="3" max="3"/>
    <col width="14" customWidth="1" min="4" max="4"/>
    <col width="14" customWidth="1" min="5" max="5"/>
    <col width="9" customWidth="1" min="6" max="6"/>
    <col width="15" customWidth="1" min="7" max="7"/>
    <col width="15" customWidth="1" min="8" max="8"/>
    <col width="15" customWidth="1" min="9" max="9"/>
    <col width="46" customWidth="1" min="10" max="10"/>
    <col width="12" customWidth="1" min="11" max="11"/>
    <col width="52" customWidth="1" min="12" max="12"/>
  </cols>
  <sheetData>
    <row r="1">
      <c r="A1" s="1" t="inlineStr">
        <is>
          <t>AWS — costo mensual por servicio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45" customHeight="1">
      <c r="A2" s="3" t="inlineStr">
        <is>
          <t>Región de referencia: us-east-1. Precios de lista públicos tomados de las páginas de precios de AWS conocidas a 2026-10-24; NO verificados contra la API de precios en esta entrega → todos marcados 'Estimado'. Para España usar eu-south-2 (Spain).</t>
        </is>
      </c>
    </row>
    <row r="4">
      <c r="A4" s="4" t="inlineStr">
        <is>
          <t>Servicio</t>
        </is>
      </c>
      <c r="B4" s="4" t="inlineStr">
        <is>
          <t>SKU / medidor</t>
        </is>
      </c>
      <c r="C4" s="4" t="inlineStr">
        <is>
          <t>Precio unitario (USD)</t>
        </is>
      </c>
      <c r="D4" s="4" t="inlineStr">
        <is>
          <t>Unidad de precio</t>
        </is>
      </c>
      <c r="E4" s="4" t="inlineStr">
        <is>
          <t>Cantidad mensual</t>
        </is>
      </c>
      <c r="F4" s="4" t="inlineStr">
        <is>
          <t>Incluir (1/0)</t>
        </is>
      </c>
      <c r="G4" s="4" t="inlineStr">
        <is>
          <t>Costo mensual (USD)</t>
        </is>
      </c>
      <c r="H4" s="4" t="inlineStr">
        <is>
          <t>Tipo</t>
        </is>
      </c>
      <c r="I4" s="4" t="inlineStr">
        <is>
          <t>Estado del precio</t>
        </is>
      </c>
      <c r="J4" s="4" t="inlineStr">
        <is>
          <t>Fuente</t>
        </is>
      </c>
      <c r="K4" s="4" t="inlineStr">
        <is>
          <t>Fecha consulta</t>
        </is>
      </c>
      <c r="L4" s="4" t="inlineStr">
        <is>
          <t>Cómo se calcula la cantidad</t>
        </is>
      </c>
    </row>
    <row r="5">
      <c r="A5" s="5" t="inlineStr">
        <is>
          <t>Plano de nube — cómputo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</row>
    <row r="6">
      <c r="A6" s="19" t="inlineStr">
        <is>
          <t>Amazon ECS on Fargate (agente)</t>
        </is>
      </c>
      <c r="B6" s="20" t="inlineStr">
        <is>
          <t>vCPU (0,5 vCPU, Linux x86)</t>
        </is>
      </c>
      <c r="C6" s="21" t="n">
        <v>0.04048</v>
      </c>
      <c r="D6" s="19" t="inlineStr">
        <is>
          <t>vCPU-hora</t>
        </is>
      </c>
      <c r="E6" s="9">
        <f>0.5*horas_mes</f>
        <v/>
      </c>
      <c r="F6" s="22" t="n">
        <v>1</v>
      </c>
      <c r="G6" s="12">
        <f>C6*E6*F6</f>
        <v/>
      </c>
      <c r="H6" s="19" t="inlineStr">
        <is>
          <t>Plataforma fija</t>
        </is>
      </c>
      <c r="I6" s="19" t="inlineStr">
        <is>
          <t>Estimado</t>
        </is>
      </c>
      <c r="J6" s="20" t="inlineStr">
        <is>
          <t>https://aws.amazon.com/fargate/pricing/</t>
        </is>
      </c>
      <c r="K6" s="19" t="inlineStr">
        <is>
          <t>2026-10-24</t>
        </is>
      </c>
      <c r="L6" s="20" t="inlineStr">
        <is>
          <t>Igual perfil que en Azure. Fargate tras ALB no escala a cero de forma nativa</t>
        </is>
      </c>
    </row>
    <row r="7">
      <c r="A7" s="19" t="inlineStr">
        <is>
          <t>Amazon ECS on Fargate (agente)</t>
        </is>
      </c>
      <c r="B7" s="20" t="inlineStr">
        <is>
          <t>Memoria (1 GB)</t>
        </is>
      </c>
      <c r="C7" s="21" t="n">
        <v>0.004445</v>
      </c>
      <c r="D7" s="19" t="inlineStr">
        <is>
          <t>GB-hora</t>
        </is>
      </c>
      <c r="E7" s="9">
        <f>1*horas_mes</f>
        <v/>
      </c>
      <c r="F7" s="22" t="n">
        <v>1</v>
      </c>
      <c r="G7" s="12">
        <f>C7*E7*F7</f>
        <v/>
      </c>
      <c r="H7" s="19" t="inlineStr">
        <is>
          <t>Plataforma fija</t>
        </is>
      </c>
      <c r="I7" s="19" t="inlineStr">
        <is>
          <t>Estimado</t>
        </is>
      </c>
      <c r="J7" s="20" t="inlineStr">
        <is>
          <t>https://aws.amazon.com/fargate/pricing/</t>
        </is>
      </c>
      <c r="K7" s="19" t="inlineStr">
        <is>
          <t>2026-10-24</t>
        </is>
      </c>
      <c r="L7" s="20" t="inlineStr"/>
    </row>
    <row r="8">
      <c r="A8" s="19" t="inlineStr">
        <is>
          <t>Amazon ECS on Fargate (visión no tiempo real)</t>
        </is>
      </c>
      <c r="B8" s="20" t="inlineStr">
        <is>
          <t>1 vCPU + 2 GB</t>
        </is>
      </c>
      <c r="C8" s="21" t="n">
        <v>0.04937</v>
      </c>
      <c r="D8" s="19" t="inlineStr">
        <is>
          <t>hora</t>
        </is>
      </c>
      <c r="E8" s="9">
        <f>horas_activas_vision_cloud</f>
        <v/>
      </c>
      <c r="F8" s="22" t="n">
        <v>1</v>
      </c>
      <c r="G8" s="12">
        <f>C8*E8*F8</f>
        <v/>
      </c>
      <c r="H8" s="19" t="inlineStr">
        <is>
          <t>Plataforma fija</t>
        </is>
      </c>
      <c r="I8" s="19" t="inlineStr">
        <is>
          <t>Estimado</t>
        </is>
      </c>
      <c r="J8" s="20" t="inlineStr">
        <is>
          <t>https://aws.amazon.com/fargate/pricing/</t>
        </is>
      </c>
      <c r="K8" s="19" t="inlineStr">
        <is>
          <t>2026-10-24</t>
        </is>
      </c>
      <c r="L8" s="20" t="inlineStr">
        <is>
          <t>0,04048 + 2×0,004445; tarea bajo demanda</t>
        </is>
      </c>
    </row>
    <row r="9">
      <c r="A9" s="19" t="inlineStr">
        <is>
          <t>Application Load Balancer</t>
        </is>
      </c>
      <c r="B9" s="20" t="inlineStr">
        <is>
          <t>Hora + ~1 LCU</t>
        </is>
      </c>
      <c r="C9" s="21" t="n">
        <v>0.0305</v>
      </c>
      <c r="D9" s="19" t="inlineStr">
        <is>
          <t>hora</t>
        </is>
      </c>
      <c r="E9" s="9">
        <f>730</f>
        <v/>
      </c>
      <c r="F9" s="22" t="n">
        <v>1</v>
      </c>
      <c r="G9" s="12">
        <f>C9*E9*F9</f>
        <v/>
      </c>
      <c r="H9" s="19" t="inlineStr">
        <is>
          <t>Plataforma fija</t>
        </is>
      </c>
      <c r="I9" s="19" t="inlineStr">
        <is>
          <t>Estimado</t>
        </is>
      </c>
      <c r="J9" s="20" t="inlineStr">
        <is>
          <t>https://aws.amazon.com/elasticloadbalancing/pricing/</t>
        </is>
      </c>
      <c r="K9" s="19" t="inlineStr">
        <is>
          <t>2026-10-24</t>
        </is>
      </c>
      <c r="L9" s="20" t="inlineStr">
        <is>
          <t>0,0225 h + 0,008 LCU-h</t>
        </is>
      </c>
    </row>
    <row r="10">
      <c r="A10" s="19" t="inlineStr">
        <is>
          <t>NAT Gateway</t>
        </is>
      </c>
      <c r="B10" s="20" t="inlineStr">
        <is>
          <t>Hora (1 AZ)</t>
        </is>
      </c>
      <c r="C10" s="21" t="n">
        <v>0.045</v>
      </c>
      <c r="D10" s="19" t="inlineStr">
        <is>
          <t>hora</t>
        </is>
      </c>
      <c r="E10" s="9">
        <f>730</f>
        <v/>
      </c>
      <c r="F10" s="22" t="n">
        <v>1</v>
      </c>
      <c r="G10" s="12">
        <f>C10*E10*F10</f>
        <v/>
      </c>
      <c r="H10" s="19" t="inlineStr">
        <is>
          <t>Plataforma fija</t>
        </is>
      </c>
      <c r="I10" s="19" t="inlineStr">
        <is>
          <t>Estimado</t>
        </is>
      </c>
      <c r="J10" s="20" t="inlineStr">
        <is>
          <t>https://aws.amazon.com/vpc/pricing/</t>
        </is>
      </c>
      <c r="K10" s="19" t="inlineStr">
        <is>
          <t>2026-10-24</t>
        </is>
      </c>
      <c r="L10" s="20" t="inlineStr">
        <is>
          <t>Salida de subredes privadas; datos aparte</t>
        </is>
      </c>
    </row>
    <row r="11">
      <c r="A11" s="19" t="inlineStr">
        <is>
          <t>Amazon ECR</t>
        </is>
      </c>
      <c r="B11" s="20" t="inlineStr">
        <is>
          <t>Almacenamiento</t>
        </is>
      </c>
      <c r="C11" s="21" t="n">
        <v>0.1</v>
      </c>
      <c r="D11" s="19" t="inlineStr">
        <is>
          <t>GB-mes</t>
        </is>
      </c>
      <c r="E11" s="9">
        <f>3</f>
        <v/>
      </c>
      <c r="F11" s="22" t="n">
        <v>1</v>
      </c>
      <c r="G11" s="12">
        <f>C11*E11*F11</f>
        <v/>
      </c>
      <c r="H11" s="19" t="inlineStr">
        <is>
          <t>Plataforma fija</t>
        </is>
      </c>
      <c r="I11" s="19" t="inlineStr">
        <is>
          <t>Estimado</t>
        </is>
      </c>
      <c r="J11" s="20" t="inlineStr">
        <is>
          <t>https://aws.amazon.com/ecr/pricing/</t>
        </is>
      </c>
      <c r="K11" s="19" t="inlineStr">
        <is>
          <t>2026-10-24</t>
        </is>
      </c>
      <c r="L11" s="20" t="inlineStr"/>
    </row>
    <row r="12">
      <c r="A12" s="19" t="inlineStr">
        <is>
          <t>Amazon SageMaker AI</t>
        </is>
      </c>
      <c r="B12" s="20" t="inlineStr">
        <is>
          <t>Training ml.m5.large</t>
        </is>
      </c>
      <c r="C12" s="21" t="n">
        <v>0.115</v>
      </c>
      <c r="D12" s="19" t="inlineStr">
        <is>
          <t>hora</t>
        </is>
      </c>
      <c r="E12" s="9">
        <f>horas_entrenamiento</f>
        <v/>
      </c>
      <c r="F12" s="22" t="n">
        <v>1</v>
      </c>
      <c r="G12" s="12">
        <f>C12*E12*F12</f>
        <v/>
      </c>
      <c r="H12" s="19" t="inlineStr">
        <is>
          <t>Plataforma fija</t>
        </is>
      </c>
      <c r="I12" s="19" t="inlineStr">
        <is>
          <t>Estimado</t>
        </is>
      </c>
      <c r="J12" s="20" t="inlineStr">
        <is>
          <t>https://aws.amazon.com/sagemaker-ai/pricing/</t>
        </is>
      </c>
      <c r="K12" s="19" t="inlineStr">
        <is>
          <t>2026-10-24</t>
        </is>
      </c>
      <c r="L12" s="20" t="inlineStr">
        <is>
          <t>Model Registry y Pipelines sin cargo propio</t>
        </is>
      </c>
    </row>
    <row r="13">
      <c r="A13" s="5" t="inlineStr">
        <is>
          <t>Plano de nube — datos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19" t="inlineStr">
        <is>
          <t>Amazon Aurora PostgreSQL Serverless v2</t>
        </is>
      </c>
      <c r="B14" s="20" t="inlineStr">
        <is>
          <t>ACU-hora (promedio 1 ACU)</t>
        </is>
      </c>
      <c r="C14" s="21" t="n">
        <v>0.12</v>
      </c>
      <c r="D14" s="19" t="inlineStr">
        <is>
          <t>ACU-hora</t>
        </is>
      </c>
      <c r="E14" s="9">
        <f>1*730*replicas_bd</f>
        <v/>
      </c>
      <c r="F14" s="22" t="n">
        <v>1</v>
      </c>
      <c r="G14" s="12">
        <f>C14*E14*F14</f>
        <v/>
      </c>
      <c r="H14" s="19" t="inlineStr">
        <is>
          <t>Plataforma fija</t>
        </is>
      </c>
      <c r="I14" s="19" t="inlineStr">
        <is>
          <t>Estimado</t>
        </is>
      </c>
      <c r="J14" s="20" t="inlineStr">
        <is>
          <t>https://aws.amazon.com/rds/aurora/pricing/</t>
        </is>
      </c>
      <c r="K14" s="19" t="inlineStr">
        <is>
          <t>2026-10-24</t>
        </is>
      </c>
      <c r="L14" s="20" t="inlineStr">
        <is>
          <t>Estado, auditoría y vector store (pgvector) de Bedrock Knowledge Bases. Réplica lectora en otra AZ = HA</t>
        </is>
      </c>
    </row>
    <row r="15">
      <c r="A15" s="19" t="inlineStr">
        <is>
          <t>Amazon Aurora PostgreSQL</t>
        </is>
      </c>
      <c r="B15" s="20" t="inlineStr">
        <is>
          <t>Almacenamiento</t>
        </is>
      </c>
      <c r="C15" s="21" t="n">
        <v>0.1</v>
      </c>
      <c r="D15" s="19" t="inlineStr">
        <is>
          <t>GB-mes</t>
        </is>
      </c>
      <c r="E15" s="9">
        <f>64</f>
        <v/>
      </c>
      <c r="F15" s="22" t="n">
        <v>1</v>
      </c>
      <c r="G15" s="12">
        <f>C15*E15*F15</f>
        <v/>
      </c>
      <c r="H15" s="19" t="inlineStr">
        <is>
          <t>Plataforma fija</t>
        </is>
      </c>
      <c r="I15" s="19" t="inlineStr">
        <is>
          <t>Estimado</t>
        </is>
      </c>
      <c r="J15" s="20" t="inlineStr">
        <is>
          <t>https://aws.amazon.com/rds/aurora/pricing/</t>
        </is>
      </c>
      <c r="K15" s="19" t="inlineStr">
        <is>
          <t>2026-10-24</t>
        </is>
      </c>
      <c r="L15" s="20" t="inlineStr">
        <is>
          <t>Almacenamiento compartido entre réplicas</t>
        </is>
      </c>
    </row>
    <row r="16">
      <c r="A16" s="19" t="inlineStr">
        <is>
          <t>Amazon Bedrock Knowledge Bases</t>
        </is>
      </c>
      <c r="B16" s="20" t="inlineStr">
        <is>
          <t>Embeddings Titan Text v2</t>
        </is>
      </c>
      <c r="C16" s="21" t="n">
        <v>2e-05</v>
      </c>
      <c r="D16" s="19" t="inlineStr">
        <is>
          <t>1K tokens</t>
        </is>
      </c>
      <c r="E16" s="9">
        <f>tok_embed_mes/1000</f>
        <v/>
      </c>
      <c r="F16" s="22" t="n">
        <v>1</v>
      </c>
      <c r="G16" s="12">
        <f>C16*E16*F16</f>
        <v/>
      </c>
      <c r="H16" s="19" t="inlineStr">
        <is>
          <t>Plataforma fija</t>
        </is>
      </c>
      <c r="I16" s="19" t="inlineStr">
        <is>
          <t>Estimado</t>
        </is>
      </c>
      <c r="J16" s="20" t="inlineStr">
        <is>
          <t>https://aws.amazon.com/bedrock/pricing/</t>
        </is>
      </c>
      <c r="K16" s="19" t="inlineStr">
        <is>
          <t>2026-10-24</t>
        </is>
      </c>
      <c r="L16" s="20" t="inlineStr">
        <is>
          <t>KB sobre Aurora pgvector (evita mínimo de OpenSearch Serverless)</t>
        </is>
      </c>
    </row>
    <row r="17">
      <c r="A17" s="19" t="inlineStr">
        <is>
          <t>Amazon OpenSearch Serverless (alternativa)</t>
        </is>
      </c>
      <c r="B17" s="20" t="inlineStr">
        <is>
          <t>OCU-hora (mín. 1 OCU sin redundancia)</t>
        </is>
      </c>
      <c r="C17" s="21" t="n">
        <v>0.24</v>
      </c>
      <c r="D17" s="19" t="inlineStr">
        <is>
          <t>OCU-hora</t>
        </is>
      </c>
      <c r="E17" s="9">
        <f>2*730</f>
        <v/>
      </c>
      <c r="F17" s="22" t="n">
        <v>0</v>
      </c>
      <c r="G17" s="12">
        <f>C17*E17*F17</f>
        <v/>
      </c>
      <c r="H17" s="19" t="inlineStr">
        <is>
          <t>Plataforma fija</t>
        </is>
      </c>
      <c r="I17" s="19" t="inlineStr">
        <is>
          <t>Estimado</t>
        </is>
      </c>
      <c r="J17" s="20" t="inlineStr">
        <is>
          <t>https://aws.amazon.com/opensearch-service/pricing/</t>
        </is>
      </c>
      <c r="K17" s="19" t="inlineStr">
        <is>
          <t>2026-10-24</t>
        </is>
      </c>
      <c r="L17" s="20" t="inlineStr">
        <is>
          <t>No incluido: mínimo ~350 USD/mes desproporcionado para pocos SOP</t>
        </is>
      </c>
    </row>
    <row r="18">
      <c r="A18" s="19" t="inlineStr">
        <is>
          <t>Amazon S3</t>
        </is>
      </c>
      <c r="B18" s="20" t="inlineStr">
        <is>
          <t>Standard</t>
        </is>
      </c>
      <c r="C18" s="21" t="n">
        <v>0.023</v>
      </c>
      <c r="D18" s="19" t="inlineStr">
        <is>
          <t>GB-mes</t>
        </is>
      </c>
      <c r="E18" s="9">
        <f>gb_imagenes_mes_est*estaciones*dias_hot/30</f>
        <v/>
      </c>
      <c r="F18" s="22" t="n">
        <v>1</v>
      </c>
      <c r="G18" s="12">
        <f>C18*E18*F18</f>
        <v/>
      </c>
      <c r="H18" s="19" t="inlineStr">
        <is>
          <t>Por estación</t>
        </is>
      </c>
      <c r="I18" s="19" t="inlineStr">
        <is>
          <t>Estimado</t>
        </is>
      </c>
      <c r="J18" s="20" t="inlineStr">
        <is>
          <t>https://aws.amazon.com/s3/pricing/</t>
        </is>
      </c>
      <c r="K18" s="19" t="inlineStr">
        <is>
          <t>2026-10-24</t>
        </is>
      </c>
      <c r="L18" s="20" t="inlineStr">
        <is>
          <t>Lifecycle: Standard→IA día 30</t>
        </is>
      </c>
    </row>
    <row r="19">
      <c r="A19" s="19" t="inlineStr">
        <is>
          <t>Amazon S3</t>
        </is>
      </c>
      <c r="B19" s="20" t="inlineStr">
        <is>
          <t>Standard-IA</t>
        </is>
      </c>
      <c r="C19" s="21" t="n">
        <v>0.0125</v>
      </c>
      <c r="D19" s="19" t="inlineStr">
        <is>
          <t>GB-mes</t>
        </is>
      </c>
      <c r="E19" s="9">
        <f>gb_imagenes_mes_est*estaciones*dias_cool/30</f>
        <v/>
      </c>
      <c r="F19" s="22" t="n">
        <v>1</v>
      </c>
      <c r="G19" s="12">
        <f>C19*E19*F19</f>
        <v/>
      </c>
      <c r="H19" s="19" t="inlineStr">
        <is>
          <t>Por estación</t>
        </is>
      </c>
      <c r="I19" s="19" t="inlineStr">
        <is>
          <t>Estimado</t>
        </is>
      </c>
      <c r="J19" s="20" t="inlineStr">
        <is>
          <t>https://aws.amazon.com/s3/pricing/</t>
        </is>
      </c>
      <c r="K19" s="19" t="inlineStr">
        <is>
          <t>2026-10-24</t>
        </is>
      </c>
      <c r="L19" s="20" t="inlineStr">
        <is>
          <t>IA→Deep Archive día 180</t>
        </is>
      </c>
    </row>
    <row r="20">
      <c r="A20" s="19" t="inlineStr">
        <is>
          <t>Amazon S3</t>
        </is>
      </c>
      <c r="B20" s="20" t="inlineStr">
        <is>
          <t>Glacier Deep Archive</t>
        </is>
      </c>
      <c r="C20" s="21" t="n">
        <v>0.00099</v>
      </c>
      <c r="D20" s="19" t="inlineStr">
        <is>
          <t>GB-mes</t>
        </is>
      </c>
      <c r="E20" s="9">
        <f>gb_imagenes_mes_est*estaciones*dias_archivo/30</f>
        <v/>
      </c>
      <c r="F20" s="22" t="n">
        <v>1</v>
      </c>
      <c r="G20" s="12">
        <f>C20*E20*F20</f>
        <v/>
      </c>
      <c r="H20" s="19" t="inlineStr">
        <is>
          <t>Por estación</t>
        </is>
      </c>
      <c r="I20" s="19" t="inlineStr">
        <is>
          <t>Estimado</t>
        </is>
      </c>
      <c r="J20" s="20" t="inlineStr">
        <is>
          <t>https://aws.amazon.com/s3/pricing/</t>
        </is>
      </c>
      <c r="K20" s="19" t="inlineStr">
        <is>
          <t>2026-10-24</t>
        </is>
      </c>
      <c r="L20" s="20" t="inlineStr">
        <is>
          <t>Expira a 3 años</t>
        </is>
      </c>
    </row>
    <row r="21">
      <c r="A21" s="19" t="inlineStr">
        <is>
          <t>Amazon S3</t>
        </is>
      </c>
      <c r="B21" s="20" t="inlineStr">
        <is>
          <t>Solicitudes y recuperaciones (aprox.)</t>
        </is>
      </c>
      <c r="C21" s="21" t="n">
        <v>5</v>
      </c>
      <c r="D21" s="19" t="inlineStr">
        <is>
          <t>mes</t>
        </is>
      </c>
      <c r="E21" s="9">
        <f>estaciones</f>
        <v/>
      </c>
      <c r="F21" s="22" t="n">
        <v>1</v>
      </c>
      <c r="G21" s="12">
        <f>C21*E21*F21</f>
        <v/>
      </c>
      <c r="H21" s="19" t="inlineStr">
        <is>
          <t>Por estación</t>
        </is>
      </c>
      <c r="I21" s="19" t="inlineStr">
        <is>
          <t>Estimado</t>
        </is>
      </c>
      <c r="J21" s="20" t="inlineStr">
        <is>
          <t>https://aws.amazon.com/s3/pricing/</t>
        </is>
      </c>
      <c r="K21" s="19" t="inlineStr">
        <is>
          <t>2026-10-24</t>
        </is>
      </c>
      <c r="L21" s="20" t="inlineStr"/>
    </row>
    <row r="22">
      <c r="A22" s="5" t="inlineStr">
        <is>
          <t>Borde y dispositivos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3">
      <c r="A23" s="19" t="inlineStr">
        <is>
          <t>AWS IoT Core</t>
        </is>
      </c>
      <c r="B23" s="20" t="inlineStr">
        <is>
          <t>Mensajería</t>
        </is>
      </c>
      <c r="C23" s="21" t="n">
        <v>1e-06</v>
      </c>
      <c r="D23" s="19" t="inlineStr">
        <is>
          <t>mensaje</t>
        </is>
      </c>
      <c r="E23" s="9">
        <f>msgs_dia_estacion*estaciones*dias_mes</f>
        <v/>
      </c>
      <c r="F23" s="22" t="n">
        <v>1</v>
      </c>
      <c r="G23" s="12">
        <f>C23*E23*F23</f>
        <v/>
      </c>
      <c r="H23" s="19" t="inlineStr">
        <is>
          <t>Por estación</t>
        </is>
      </c>
      <c r="I23" s="19" t="inlineStr">
        <is>
          <t>Estimado</t>
        </is>
      </c>
      <c r="J23" s="20" t="inlineStr">
        <is>
          <t>https://aws.amazon.com/iot-core/pricing/</t>
        </is>
      </c>
      <c r="K23" s="19" t="inlineStr">
        <is>
          <t>2026-10-24</t>
        </is>
      </c>
      <c r="L23" s="20" t="inlineStr">
        <is>
          <t>1 USD por millón de mensajes</t>
        </is>
      </c>
    </row>
    <row r="24">
      <c r="A24" s="19" t="inlineStr">
        <is>
          <t>AWS IoT Core</t>
        </is>
      </c>
      <c r="B24" s="20" t="inlineStr">
        <is>
          <t>Conectividad</t>
        </is>
      </c>
      <c r="C24" s="21" t="n">
        <v>8e-08</v>
      </c>
      <c r="D24" s="19" t="inlineStr">
        <is>
          <t>minuto-conexión</t>
        </is>
      </c>
      <c r="E24" s="9">
        <f>43800*estaciones</f>
        <v/>
      </c>
      <c r="F24" s="22" t="n">
        <v>1</v>
      </c>
      <c r="G24" s="12">
        <f>C24*E24*F24</f>
        <v/>
      </c>
      <c r="H24" s="19" t="inlineStr">
        <is>
          <t>Por estación</t>
        </is>
      </c>
      <c r="I24" s="19" t="inlineStr">
        <is>
          <t>Estimado</t>
        </is>
      </c>
      <c r="J24" s="20" t="inlineStr">
        <is>
          <t>https://aws.amazon.com/iot-core/pricing/</t>
        </is>
      </c>
      <c r="K24" s="19" t="inlineStr">
        <is>
          <t>2026-10-24</t>
        </is>
      </c>
      <c r="L24" s="20" t="inlineStr">
        <is>
          <t>0,08 USD por millón de minutos</t>
        </is>
      </c>
    </row>
    <row r="25">
      <c r="A25" s="19" t="inlineStr">
        <is>
          <t>AWS IoT Greengrass V2</t>
        </is>
      </c>
      <c r="B25" s="20" t="inlineStr">
        <is>
          <t>Dispositivo core activo</t>
        </is>
      </c>
      <c r="C25" s="21" t="n">
        <v>0.16</v>
      </c>
      <c r="D25" s="19" t="inlineStr">
        <is>
          <t>dispositivo-mes</t>
        </is>
      </c>
      <c r="E25" s="9">
        <f>estaciones</f>
        <v/>
      </c>
      <c r="F25" s="22" t="n">
        <v>1</v>
      </c>
      <c r="G25" s="12">
        <f>C25*E25*F25</f>
        <v/>
      </c>
      <c r="H25" s="19" t="inlineStr">
        <is>
          <t>Por estación</t>
        </is>
      </c>
      <c r="I25" s="19" t="inlineStr">
        <is>
          <t>Estimado</t>
        </is>
      </c>
      <c r="J25" s="20" t="inlineStr">
        <is>
          <t>https://aws.amazon.com/greengrass/pricing/</t>
        </is>
      </c>
      <c r="K25" s="19" t="inlineStr">
        <is>
          <t>2026-10-24</t>
        </is>
      </c>
      <c r="L25" s="20" t="inlineStr"/>
    </row>
    <row r="26">
      <c r="A26" s="19" t="inlineStr">
        <is>
          <t>AWS Systems Manager (instancia híbrida avanzada)</t>
        </is>
      </c>
      <c r="B26" s="20" t="inlineStr">
        <is>
          <t>Por PC industrial</t>
        </is>
      </c>
      <c r="C26" s="21" t="n">
        <v>0.00695</v>
      </c>
      <c r="D26" s="19" t="inlineStr">
        <is>
          <t>hora</t>
        </is>
      </c>
      <c r="E26" s="9">
        <f>730*estaciones</f>
        <v/>
      </c>
      <c r="F26" s="22" t="n">
        <v>1</v>
      </c>
      <c r="G26" s="12">
        <f>C26*E26*F26</f>
        <v/>
      </c>
      <c r="H26" s="19" t="inlineStr">
        <is>
          <t>Por estación</t>
        </is>
      </c>
      <c r="I26" s="19" t="inlineStr">
        <is>
          <t>Estimado</t>
        </is>
      </c>
      <c r="J26" s="20" t="inlineStr">
        <is>
          <t>https://aws.amazon.com/systems-manager/pricing/</t>
        </is>
      </c>
      <c r="K26" s="19" t="inlineStr">
        <is>
          <t>2026-10-24</t>
        </is>
      </c>
      <c r="L26" s="20" t="inlineStr">
        <is>
          <t>Parches/inventario/sesiones del PC de borde</t>
        </is>
      </c>
    </row>
    <row r="27">
      <c r="A27" s="5" t="inlineStr">
        <is>
          <t>Seguridad, red y observabilidad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</row>
    <row r="28">
      <c r="A28" s="19" t="inlineStr">
        <is>
          <t>AWS Secrets Manager</t>
        </is>
      </c>
      <c r="B28" s="20" t="inlineStr">
        <is>
          <t>Secreto</t>
        </is>
      </c>
      <c r="C28" s="21" t="n">
        <v>0.4</v>
      </c>
      <c r="D28" s="19" t="inlineStr">
        <is>
          <t>secreto-mes</t>
        </is>
      </c>
      <c r="E28" s="9">
        <f>8</f>
        <v/>
      </c>
      <c r="F28" s="22" t="n">
        <v>1</v>
      </c>
      <c r="G28" s="12">
        <f>C28*E28*F28</f>
        <v/>
      </c>
      <c r="H28" s="19" t="inlineStr">
        <is>
          <t>Plataforma fija</t>
        </is>
      </c>
      <c r="I28" s="19" t="inlineStr">
        <is>
          <t>Estimado</t>
        </is>
      </c>
      <c r="J28" s="20" t="inlineStr">
        <is>
          <t>https://aws.amazon.com/secrets-manager/pricing/</t>
        </is>
      </c>
      <c r="K28" s="19" t="inlineStr">
        <is>
          <t>2026-10-24</t>
        </is>
      </c>
      <c r="L28" s="20" t="inlineStr">
        <is>
          <t>8 secretos (BD, tokens, certificados)</t>
        </is>
      </c>
    </row>
    <row r="29">
      <c r="A29" s="19" t="inlineStr">
        <is>
          <t>VPC Interface Endpoints (PrivateLink)</t>
        </is>
      </c>
      <c r="B29" s="20" t="inlineStr">
        <is>
          <t>Endpoint-AZ</t>
        </is>
      </c>
      <c r="C29" s="21" t="n">
        <v>0.01</v>
      </c>
      <c r="D29" s="19" t="inlineStr">
        <is>
          <t>hora</t>
        </is>
      </c>
      <c r="E29" s="9">
        <f>5*2*730</f>
        <v/>
      </c>
      <c r="F29" s="22" t="n">
        <v>1</v>
      </c>
      <c r="G29" s="12">
        <f>C29*E29*F29</f>
        <v/>
      </c>
      <c r="H29" s="19" t="inlineStr">
        <is>
          <t>Plataforma fija</t>
        </is>
      </c>
      <c r="I29" s="19" t="inlineStr">
        <is>
          <t>Estimado</t>
        </is>
      </c>
      <c r="J29" s="20" t="inlineStr">
        <is>
          <t>https://aws.amazon.com/privatelink/pricing/</t>
        </is>
      </c>
      <c r="K29" s="19" t="inlineStr">
        <is>
          <t>2026-10-24</t>
        </is>
      </c>
      <c r="L29" s="20" t="inlineStr">
        <is>
          <t>5 endpoints (Bedrock, S3 gateway gratis aparte, Secrets, ECR, Logs) × 2 AZ</t>
        </is>
      </c>
    </row>
    <row r="30">
      <c r="A30" s="19" t="inlineStr">
        <is>
          <t>Amazon CloudWatch Logs</t>
        </is>
      </c>
      <c r="B30" s="20" t="inlineStr">
        <is>
          <t>Ingesta</t>
        </is>
      </c>
      <c r="C30" s="21" t="n">
        <v>0.5</v>
      </c>
      <c r="D30" s="19" t="inlineStr">
        <is>
          <t>GB</t>
        </is>
      </c>
      <c r="E30" s="9">
        <f>gb_logs_mes</f>
        <v/>
      </c>
      <c r="F30" s="22" t="n">
        <v>1</v>
      </c>
      <c r="G30" s="12">
        <f>C30*E30*F30</f>
        <v/>
      </c>
      <c r="H30" s="19" t="inlineStr">
        <is>
          <t>Plataforma fija</t>
        </is>
      </c>
      <c r="I30" s="19" t="inlineStr">
        <is>
          <t>Estimado</t>
        </is>
      </c>
      <c r="J30" s="20" t="inlineStr">
        <is>
          <t>https://aws.amazon.com/cloudwatch/pricing/</t>
        </is>
      </c>
      <c r="K30" s="19" t="inlineStr">
        <is>
          <t>2026-10-24</t>
        </is>
      </c>
      <c r="L30" s="20" t="inlineStr"/>
    </row>
    <row r="31">
      <c r="A31" s="19" t="inlineStr">
        <is>
          <t>Amazon GuardDuty</t>
        </is>
      </c>
      <c r="B31" s="20" t="inlineStr">
        <is>
          <t>Cuenta pequeña (CloudTrail, S3, runtime ECS)</t>
        </is>
      </c>
      <c r="C31" s="21" t="n">
        <v>15</v>
      </c>
      <c r="D31" s="19" t="inlineStr">
        <is>
          <t>mes</t>
        </is>
      </c>
      <c r="E31" s="9">
        <f>1</f>
        <v/>
      </c>
      <c r="F31" s="22" t="n">
        <v>1</v>
      </c>
      <c r="G31" s="12">
        <f>C31*E31*F31</f>
        <v/>
      </c>
      <c r="H31" s="19" t="inlineStr">
        <is>
          <t>Plataforma fija</t>
        </is>
      </c>
      <c r="I31" s="19" t="inlineStr">
        <is>
          <t>Estimado</t>
        </is>
      </c>
      <c r="J31" s="20" t="inlineStr">
        <is>
          <t>https://aws.amazon.com/guardduty/pricing/</t>
        </is>
      </c>
      <c r="K31" s="19" t="inlineStr">
        <is>
          <t>2026-10-24</t>
        </is>
      </c>
      <c r="L31" s="20" t="inlineStr">
        <is>
          <t>Estimación según volumen de eventos</t>
        </is>
      </c>
    </row>
    <row r="32">
      <c r="A32" s="19" t="inlineStr">
        <is>
          <t>AWS WAF (opcional)</t>
        </is>
      </c>
      <c r="B32" s="20" t="inlineStr">
        <is>
          <t>Web ACL + reglas</t>
        </is>
      </c>
      <c r="C32" s="21" t="n">
        <v>10</v>
      </c>
      <c r="D32" s="19" t="inlineStr">
        <is>
          <t>mes</t>
        </is>
      </c>
      <c r="E32" s="9">
        <f>1</f>
        <v/>
      </c>
      <c r="F32" s="22" t="n">
        <v>0</v>
      </c>
      <c r="G32" s="12">
        <f>C32*E32*F32</f>
        <v/>
      </c>
      <c r="H32" s="19" t="inlineStr">
        <is>
          <t>Plataforma fija</t>
        </is>
      </c>
      <c r="I32" s="19" t="inlineStr">
        <is>
          <t>Estimado</t>
        </is>
      </c>
      <c r="J32" s="20" t="inlineStr">
        <is>
          <t>https://aws.amazon.com/waf/pricing/</t>
        </is>
      </c>
      <c r="K32" s="19" t="inlineStr">
        <is>
          <t>2026-10-24</t>
        </is>
      </c>
      <c r="L32" s="20" t="inlineStr">
        <is>
          <t>Solo si el chat se expone fuera de la red corporativa</t>
        </is>
      </c>
    </row>
    <row r="33">
      <c r="A33" s="5" t="inlineStr">
        <is>
          <t>Asistente agéntico (LLM)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</row>
    <row r="34">
      <c r="A34" s="19" t="inlineStr">
        <is>
          <t>Amazon Bedrock</t>
        </is>
      </c>
      <c r="B34" s="20" t="inlineStr">
        <is>
          <t>Claude Haiku 4.5 · entrada</t>
        </is>
      </c>
      <c r="C34" s="21" t="n">
        <v>0.001</v>
      </c>
      <c r="D34" s="19" t="inlineStr">
        <is>
          <t>1K tokens</t>
        </is>
      </c>
      <c r="E34" s="9">
        <f>conv_mes*(1-pct_modelo_grande)*tok_in_conv*(1-pct_cache)/1000</f>
        <v/>
      </c>
      <c r="F34" s="22" t="n">
        <v>1</v>
      </c>
      <c r="G34" s="12">
        <f>C34*E34*F34</f>
        <v/>
      </c>
      <c r="H34" s="19" t="inlineStr">
        <is>
          <t>LLM</t>
        </is>
      </c>
      <c r="I34" s="19" t="inlineStr">
        <is>
          <t>Estimado</t>
        </is>
      </c>
      <c r="J34" s="20" t="inlineStr">
        <is>
          <t>https://aws.amazon.com/bedrock/pricing/</t>
        </is>
      </c>
      <c r="K34" s="19" t="inlineStr">
        <is>
          <t>2026-10-24</t>
        </is>
      </c>
      <c r="L34" s="20" t="inlineStr">
        <is>
          <t>Modelo por defecto (85%)</t>
        </is>
      </c>
    </row>
    <row r="35">
      <c r="A35" s="19" t="inlineStr">
        <is>
          <t>Amazon Bedrock</t>
        </is>
      </c>
      <c r="B35" s="20" t="inlineStr">
        <is>
          <t>Claude Haiku 4.5 · lectura de caché</t>
        </is>
      </c>
      <c r="C35" s="21" t="n">
        <v>0.0001</v>
      </c>
      <c r="D35" s="19" t="inlineStr">
        <is>
          <t>1K tokens</t>
        </is>
      </c>
      <c r="E35" s="9">
        <f>conv_mes*(1-pct_modelo_grande)*tok_in_conv*pct_cache/1000</f>
        <v/>
      </c>
      <c r="F35" s="22" t="n">
        <v>1</v>
      </c>
      <c r="G35" s="12">
        <f>C35*E35*F35</f>
        <v/>
      </c>
      <c r="H35" s="19" t="inlineStr">
        <is>
          <t>LLM</t>
        </is>
      </c>
      <c r="I35" s="19" t="inlineStr">
        <is>
          <t>Estimado</t>
        </is>
      </c>
      <c r="J35" s="20" t="inlineStr">
        <is>
          <t>https://aws.amazon.com/bedrock/pricing/</t>
        </is>
      </c>
      <c r="K35" s="19" t="inlineStr">
        <is>
          <t>2026-10-24</t>
        </is>
      </c>
      <c r="L35" s="20" t="inlineStr">
        <is>
          <t>Prompt caching explícito (escritura en caché ~1,25× no modelada)</t>
        </is>
      </c>
    </row>
    <row r="36">
      <c r="A36" s="19" t="inlineStr">
        <is>
          <t>Amazon Bedrock</t>
        </is>
      </c>
      <c r="B36" s="20" t="inlineStr">
        <is>
          <t>Claude Haiku 4.5 · salida</t>
        </is>
      </c>
      <c r="C36" s="21" t="n">
        <v>0.005</v>
      </c>
      <c r="D36" s="19" t="inlineStr">
        <is>
          <t>1K tokens</t>
        </is>
      </c>
      <c r="E36" s="9">
        <f>conv_mes*(1-pct_modelo_grande)*tok_out_conv/1000</f>
        <v/>
      </c>
      <c r="F36" s="22" t="n">
        <v>1</v>
      </c>
      <c r="G36" s="12">
        <f>C36*E36*F36</f>
        <v/>
      </c>
      <c r="H36" s="19" t="inlineStr">
        <is>
          <t>LLM</t>
        </is>
      </c>
      <c r="I36" s="19" t="inlineStr">
        <is>
          <t>Estimado</t>
        </is>
      </c>
      <c r="J36" s="20" t="inlineStr">
        <is>
          <t>https://aws.amazon.com/bedrock/pricing/</t>
        </is>
      </c>
      <c r="K36" s="19" t="inlineStr">
        <is>
          <t>2026-10-24</t>
        </is>
      </c>
      <c r="L36" s="20" t="inlineStr"/>
    </row>
    <row r="37">
      <c r="A37" s="19" t="inlineStr">
        <is>
          <t>Amazon Bedrock</t>
        </is>
      </c>
      <c r="B37" s="20" t="inlineStr">
        <is>
          <t>Claude Sonnet 4.5 · entrada</t>
        </is>
      </c>
      <c r="C37" s="21" t="n">
        <v>0.003</v>
      </c>
      <c r="D37" s="19" t="inlineStr">
        <is>
          <t>1K tokens</t>
        </is>
      </c>
      <c r="E37" s="9">
        <f>conv_mes*pct_modelo_grande*tok_in_conv*(1-pct_cache)/1000</f>
        <v/>
      </c>
      <c r="F37" s="22" t="n">
        <v>1</v>
      </c>
      <c r="G37" s="12">
        <f>C37*E37*F37</f>
        <v/>
      </c>
      <c r="H37" s="19" t="inlineStr">
        <is>
          <t>LLM</t>
        </is>
      </c>
      <c r="I37" s="19" t="inlineStr">
        <is>
          <t>Estimado</t>
        </is>
      </c>
      <c r="J37" s="20" t="inlineStr">
        <is>
          <t>https://aws.amazon.com/bedrock/pricing/</t>
        </is>
      </c>
      <c r="K37" s="19" t="inlineStr">
        <is>
          <t>2026-10-24</t>
        </is>
      </c>
      <c r="L37" s="20" t="inlineStr">
        <is>
          <t>Modelo grande (15%)</t>
        </is>
      </c>
    </row>
    <row r="38">
      <c r="A38" s="19" t="inlineStr">
        <is>
          <t>Amazon Bedrock</t>
        </is>
      </c>
      <c r="B38" s="20" t="inlineStr">
        <is>
          <t>Claude Sonnet 4.5 · lectura de caché</t>
        </is>
      </c>
      <c r="C38" s="21" t="n">
        <v>0.0003</v>
      </c>
      <c r="D38" s="19" t="inlineStr">
        <is>
          <t>1K tokens</t>
        </is>
      </c>
      <c r="E38" s="9">
        <f>conv_mes*pct_modelo_grande*tok_in_conv*pct_cache/1000</f>
        <v/>
      </c>
      <c r="F38" s="22" t="n">
        <v>1</v>
      </c>
      <c r="G38" s="12">
        <f>C38*E38*F38</f>
        <v/>
      </c>
      <c r="H38" s="19" t="inlineStr">
        <is>
          <t>LLM</t>
        </is>
      </c>
      <c r="I38" s="19" t="inlineStr">
        <is>
          <t>Estimado</t>
        </is>
      </c>
      <c r="J38" s="20" t="inlineStr">
        <is>
          <t>https://aws.amazon.com/bedrock/pricing/</t>
        </is>
      </c>
      <c r="K38" s="19" t="inlineStr">
        <is>
          <t>2026-10-24</t>
        </is>
      </c>
      <c r="L38" s="20" t="inlineStr"/>
    </row>
    <row r="39">
      <c r="A39" s="19" t="inlineStr">
        <is>
          <t>Amazon Bedrock</t>
        </is>
      </c>
      <c r="B39" s="20" t="inlineStr">
        <is>
          <t>Claude Sonnet 4.5 · salida</t>
        </is>
      </c>
      <c r="C39" s="21" t="n">
        <v>0.015</v>
      </c>
      <c r="D39" s="19" t="inlineStr">
        <is>
          <t>1K tokens</t>
        </is>
      </c>
      <c r="E39" s="9">
        <f>conv_mes*pct_modelo_grande*tok_out_conv/1000</f>
        <v/>
      </c>
      <c r="F39" s="22" t="n">
        <v>1</v>
      </c>
      <c r="G39" s="12">
        <f>C39*E39*F39</f>
        <v/>
      </c>
      <c r="H39" s="19" t="inlineStr">
        <is>
          <t>LLM</t>
        </is>
      </c>
      <c r="I39" s="19" t="inlineStr">
        <is>
          <t>Estimado</t>
        </is>
      </c>
      <c r="J39" s="20" t="inlineStr">
        <is>
          <t>https://aws.amazon.com/bedrock/pricing/</t>
        </is>
      </c>
      <c r="K39" s="19" t="inlineStr">
        <is>
          <t>2026-10-24</t>
        </is>
      </c>
      <c r="L39" s="20" t="inlineStr"/>
    </row>
    <row r="41">
      <c r="F41" s="23" t="inlineStr">
        <is>
          <t>Subtotal Plataforma fija</t>
        </is>
      </c>
      <c r="G41" s="24">
        <f>SUMIF($H$5:$H$39,"Plataforma fija",$G$5:$G$39)</f>
        <v/>
      </c>
    </row>
    <row r="42">
      <c r="F42" s="23" t="inlineStr">
        <is>
          <t>Subtotal Por estación</t>
        </is>
      </c>
      <c r="G42" s="24">
        <f>SUMIF($H$5:$H$39,"Por estación",$G$5:$G$39)</f>
        <v/>
      </c>
    </row>
    <row r="43">
      <c r="F43" s="23" t="inlineStr">
        <is>
          <t>Subtotal LLM</t>
        </is>
      </c>
      <c r="G43" s="24">
        <f>SUMIF($H$5:$H$39,"LLM",$G$5:$G$39)</f>
        <v/>
      </c>
    </row>
    <row r="44">
      <c r="F44" s="17" t="inlineStr">
        <is>
          <t>TOTAL MENSUAL</t>
        </is>
      </c>
      <c r="G44" s="25">
        <f>SUM(G41:G43)</f>
        <v/>
      </c>
    </row>
    <row r="46">
      <c r="F46" t="inlineStr">
        <is>
          <t>Costo por estación (marginal)</t>
        </is>
      </c>
      <c r="G46" s="26">
        <f>aws_estacion_total_mes/estaciones</f>
        <v/>
      </c>
    </row>
    <row r="47">
      <c r="F47" t="inlineStr">
        <is>
          <t>Costo LLM por conversación</t>
        </is>
      </c>
      <c r="G47" s="27">
        <f>aws_llm_mes/conv_mes</f>
        <v/>
      </c>
    </row>
    <row r="48">
      <c r="F48" t="inlineStr">
        <is>
          <t>Costo por objeto procesado</t>
        </is>
      </c>
      <c r="G48" s="28">
        <f>aws_total_mes/(throughput_obj_h*horas_mes*estaciones)</f>
        <v/>
      </c>
    </row>
  </sheetData>
  <mergeCells count="1">
    <mergeCell ref="A2:L2"/>
  </mergeCells>
  <conditionalFormatting sqref="I5:I39">
    <cfRule type="cellIs" priority="1" operator="equal" dxfId="0">
      <formula>"Estimado"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Comparativo: operación actual vs Azure vs AWS</t>
        </is>
      </c>
      <c r="B1" s="2" t="n"/>
      <c r="C1" s="2" t="n"/>
      <c r="D1" s="2" t="n"/>
      <c r="E1" s="2" t="n"/>
    </row>
    <row r="2" ht="45" customHeight="1">
      <c r="A2" s="3" t="inlineStr">
        <is>
          <t>USD. El costo 'nuevo' = nube + mantenimiento de borde + trabajo humano residual (cola de revisión + supervisión itinerante). El robot ya existe en ambos escenarios y no se incluye.</t>
        </is>
      </c>
    </row>
    <row r="4">
      <c r="A4" s="4" t="inlineStr">
        <is>
          <t>Concepto</t>
        </is>
      </c>
      <c r="B4" s="4" t="inlineStr">
        <is>
          <t>Colombia · Azure</t>
        </is>
      </c>
      <c r="C4" s="4" t="inlineStr">
        <is>
          <t>Colombia · AWS</t>
        </is>
      </c>
      <c r="D4" s="4" t="inlineStr">
        <is>
          <t>España · Azure</t>
        </is>
      </c>
      <c r="E4" s="4" t="inlineStr">
        <is>
          <t>España · AWS</t>
        </is>
      </c>
    </row>
    <row r="5">
      <c r="A5" t="inlineStr">
        <is>
          <t>Costo mensual operación actual</t>
        </is>
      </c>
      <c r="B5" s="16">
        <f>actual_mes_co</f>
        <v/>
      </c>
      <c r="C5" s="16">
        <f>actual_mes_co</f>
        <v/>
      </c>
      <c r="D5" s="16">
        <f>actual_mes_es</f>
        <v/>
      </c>
      <c r="E5" s="16">
        <f>actual_mes_es</f>
        <v/>
      </c>
    </row>
    <row r="6">
      <c r="A6" t="inlineStr">
        <is>
          <t>Nube: plataforma fija</t>
        </is>
      </c>
      <c r="B6" s="16">
        <f>azure_fijo_mes*plantas</f>
        <v/>
      </c>
      <c r="C6" s="16">
        <f>aws_fijo_mes*plantas</f>
        <v/>
      </c>
      <c r="D6" s="16">
        <f>azure_fijo_mes*plantas</f>
        <v/>
      </c>
      <c r="E6" s="16">
        <f>aws_fijo_mes*plantas</f>
        <v/>
      </c>
    </row>
    <row r="7">
      <c r="A7" t="inlineStr">
        <is>
          <t>Nube: por estaciones</t>
        </is>
      </c>
      <c r="B7" s="16">
        <f>azure_estacion_total_mes*plantas</f>
        <v/>
      </c>
      <c r="C7" s="16">
        <f>aws_estacion_total_mes*plantas</f>
        <v/>
      </c>
      <c r="D7" s="16">
        <f>azure_estacion_total_mes*plantas</f>
        <v/>
      </c>
      <c r="E7" s="16">
        <f>aws_estacion_total_mes*plantas</f>
        <v/>
      </c>
    </row>
    <row r="8">
      <c r="A8" t="inlineStr">
        <is>
          <t>Nube: LLM del asistente</t>
        </is>
      </c>
      <c r="B8" s="16">
        <f>azure_llm_mes*plantas</f>
        <v/>
      </c>
      <c r="C8" s="16">
        <f>aws_llm_mes*plantas</f>
        <v/>
      </c>
      <c r="D8" s="16">
        <f>azure_llm_mes*plantas</f>
        <v/>
      </c>
      <c r="E8" s="16">
        <f>aws_llm_mes*plantas</f>
        <v/>
      </c>
    </row>
    <row r="9">
      <c r="A9" t="inlineStr">
        <is>
          <t>Mantenimiento hardware de borde</t>
        </is>
      </c>
      <c r="B9" s="16">
        <f>estaciones*plantas*(capex_pc+capex_camara)*pct_mant_hw/12</f>
        <v/>
      </c>
      <c r="C9" s="16">
        <f>estaciones*plantas*(capex_pc+capex_camara)*pct_mant_hw/12</f>
        <v/>
      </c>
      <c r="D9" s="16">
        <f>estaciones*plantas*(capex_pc+capex_camara)*pct_mant_hw/12</f>
        <v/>
      </c>
      <c r="E9" s="16">
        <f>estaciones*plantas*(capex_pc+capex_camara)*pct_mant_hw/12</f>
        <v/>
      </c>
    </row>
    <row r="10">
      <c r="A10" t="inlineStr">
        <is>
          <t>Humano residual: cola de revisión</t>
        </is>
      </c>
      <c r="B10" s="16">
        <f>estaciones*plantas*throughput_obj_h*horas_mes*(1-pct_automatizado)*min_caso_revision/60*costo_hora_co</f>
        <v/>
      </c>
      <c r="C10" s="16">
        <f>estaciones*plantas*throughput_obj_h*horas_mes*(1-pct_automatizado)*min_caso_revision/60*costo_hora_co</f>
        <v/>
      </c>
      <c r="D10" s="16">
        <f>estaciones*plantas*throughput_obj_h*horas_mes*(1-pct_automatizado)*min_caso_revision/60*costo_hora_es</f>
        <v/>
      </c>
      <c r="E10" s="16">
        <f>estaciones*plantas*throughput_obj_h*horas_mes*(1-pct_automatizado)*min_caso_revision/60*costo_hora_es</f>
        <v/>
      </c>
    </row>
    <row r="11">
      <c r="A11" t="inlineStr">
        <is>
          <t>Humano residual: supervisión itinerante</t>
        </is>
      </c>
      <c r="B11" s="16">
        <f>estaciones*plantas*fte_residual*horas_mes*factor_cobertura*costo_hora_co</f>
        <v/>
      </c>
      <c r="C11" s="16">
        <f>estaciones*plantas*fte_residual*horas_mes*factor_cobertura*costo_hora_co</f>
        <v/>
      </c>
      <c r="D11" s="16">
        <f>estaciones*plantas*fte_residual*horas_mes*factor_cobertura*costo_hora_es</f>
        <v/>
      </c>
      <c r="E11" s="16">
        <f>estaciones*plantas*fte_residual*horas_mes*factor_cobertura*costo_hora_es</f>
        <v/>
      </c>
    </row>
    <row r="12">
      <c r="A12" s="17" t="inlineStr">
        <is>
          <t>COSTO MENSUAL NUEVO</t>
        </is>
      </c>
      <c r="B12" s="18">
        <f>SUM(B6:B11)</f>
        <v/>
      </c>
      <c r="C12" s="18">
        <f>SUM(C6:C11)</f>
        <v/>
      </c>
      <c r="D12" s="18">
        <f>SUM(D6:D11)</f>
        <v/>
      </c>
      <c r="E12" s="18">
        <f>SUM(E6:E11)</f>
        <v/>
      </c>
    </row>
    <row r="13">
      <c r="A13" s="17" t="inlineStr">
        <is>
          <t>AHORRO MENSUAL</t>
        </is>
      </c>
      <c r="B13" s="18">
        <f>B5-B12</f>
        <v/>
      </c>
      <c r="C13" s="18">
        <f>C5-C12</f>
        <v/>
      </c>
      <c r="D13" s="18">
        <f>D5-D12</f>
        <v/>
      </c>
      <c r="E13" s="18">
        <f>E5-E12</f>
        <v/>
      </c>
    </row>
    <row r="14">
      <c r="A14" t="inlineStr">
        <is>
          <t>Ahorro mensual (%)</t>
        </is>
      </c>
      <c r="B14" s="13">
        <f>IF(B5&gt;0,B13/B5,0)</f>
        <v/>
      </c>
      <c r="C14" s="13">
        <f>IF(C5&gt;0,C13/C5,0)</f>
        <v/>
      </c>
      <c r="D14" s="13">
        <f>IF(D5&gt;0,D13/D5,0)</f>
        <v/>
      </c>
      <c r="E14" s="13">
        <f>IF(E5&gt;0,E13/E5,0)</f>
        <v/>
      </c>
    </row>
    <row r="15">
      <c r="A15" t="inlineStr">
        <is>
          <t>Costo anual actual</t>
        </is>
      </c>
      <c r="B15" s="16">
        <f>B5*12</f>
        <v/>
      </c>
      <c r="C15" s="16">
        <f>C5*12</f>
        <v/>
      </c>
      <c r="D15" s="16">
        <f>D5*12</f>
        <v/>
      </c>
      <c r="E15" s="16">
        <f>E5*12</f>
        <v/>
      </c>
    </row>
    <row r="16">
      <c r="A16" t="inlineStr">
        <is>
          <t>Costo anual nuevo (OPEX)</t>
        </is>
      </c>
      <c r="B16" s="16">
        <f>B12*12</f>
        <v/>
      </c>
      <c r="C16" s="16">
        <f>C12*12</f>
        <v/>
      </c>
      <c r="D16" s="16">
        <f>D12*12</f>
        <v/>
      </c>
      <c r="E16" s="16">
        <f>E12*12</f>
        <v/>
      </c>
    </row>
    <row r="17">
      <c r="A17" t="inlineStr">
        <is>
          <t>CAPEX único (borde + integración + implementación)</t>
        </is>
      </c>
      <c r="B17" s="16">
        <f>estaciones*plantas*(capex_pc+capex_camara+capex_integracion)+capex_planta*plantas</f>
        <v/>
      </c>
      <c r="C17" s="16">
        <f>estaciones*plantas*(capex_pc+capex_camara+capex_integracion)+capex_planta*plantas</f>
        <v/>
      </c>
      <c r="D17" s="16">
        <f>estaciones*plantas*(capex_pc+capex_camara+capex_integracion)+capex_planta*plantas</f>
        <v/>
      </c>
      <c r="E17" s="16">
        <f>estaciones*plantas*(capex_pc+capex_camara+capex_integracion)+capex_planta*plantas</f>
        <v/>
      </c>
    </row>
    <row r="18">
      <c r="A18" t="inlineStr">
        <is>
          <t>Payback (meses)</t>
        </is>
      </c>
      <c r="B18" s="9">
        <f>IF(B13&gt;0,B17/B13,"No recupera")</f>
        <v/>
      </c>
      <c r="C18" s="9">
        <f>IF(C13&gt;0,C17/C13,"No recupera")</f>
        <v/>
      </c>
      <c r="D18" s="9">
        <f>IF(D13&gt;0,D17/D13,"No recupera")</f>
        <v/>
      </c>
      <c r="E18" s="9">
        <f>IF(E13&gt;0,E17/E13,"No recupera")</f>
        <v/>
      </c>
    </row>
    <row r="19">
      <c r="A19" t="inlineStr">
        <is>
          <t>Ahorro neto a 3 años (36 × ahorro − CAPEX)</t>
        </is>
      </c>
      <c r="B19" s="16">
        <f>36*B13-B17</f>
        <v/>
      </c>
      <c r="C19" s="16">
        <f>36*C13-C17</f>
        <v/>
      </c>
      <c r="D19" s="16">
        <f>36*D13-D17</f>
        <v/>
      </c>
      <c r="E19" s="16">
        <f>36*E13-E17</f>
        <v/>
      </c>
    </row>
    <row r="20">
      <c r="A20" t="inlineStr">
        <is>
          <t>Costo nube por objeto procesado (USD)</t>
        </is>
      </c>
      <c r="B20" s="29">
        <f>SUM(B6:B8)/(throughput_obj_h*horas_mes*estaciones*plantas)</f>
        <v/>
      </c>
      <c r="C20" s="29">
        <f>SUM(C6:C8)/(throughput_obj_h*horas_mes*estaciones*plantas)</f>
        <v/>
      </c>
      <c r="D20" s="29">
        <f>SUM(D6:D8)/(throughput_obj_h*horas_mes*estaciones*plantas)</f>
        <v/>
      </c>
      <c r="E20" s="29">
        <f>SUM(E6:E8)/(throughput_obj_h*horas_mes*estaciones*plantas)</f>
        <v/>
      </c>
    </row>
    <row r="21">
      <c r="A21" t="inlineStr">
        <is>
          <t>Humano residual / costo actual (%)</t>
        </is>
      </c>
      <c r="B21" s="13">
        <f>(B10+B11)/B5</f>
        <v/>
      </c>
      <c r="C21" s="13">
        <f>(C10+C11)/C5</f>
        <v/>
      </c>
      <c r="D21" s="13">
        <f>(D10+D11)/D5</f>
        <v/>
      </c>
      <c r="E21" s="13">
        <f>(E10+E11)/E5</f>
        <v/>
      </c>
    </row>
    <row r="23">
      <c r="A23" s="30" t="inlineStr">
        <is>
          <t>Lectura rápida:</t>
        </is>
      </c>
    </row>
    <row r="24">
      <c r="A24" s="30" t="inlineStr">
        <is>
          <t>• El ahorro viene de retirar 3 turnos de operador por estación; la nube es una fracción pequeña del costo laboral evitado.</t>
        </is>
      </c>
    </row>
    <row r="25">
      <c r="A25" s="30" t="inlineStr">
        <is>
          <t>• El factor que más mueve el resultado es % automatizado (cola de revisión) y el costo laboral local, no el proveedor de nube.</t>
        </is>
      </c>
    </row>
    <row r="26">
      <c r="A26" s="30" t="inlineStr">
        <is>
          <t>• Con 1 estación en Colombia el payback es largo porque el CAPEX de implementación por planta pesa mucho; ver Sensibilidad (5 y 20 estaciones).</t>
        </is>
      </c>
    </row>
    <row r="27">
      <c r="A27" s="30" t="inlineStr">
        <is>
          <t>• Ningún número de esta hoja está hardcodeado: todo sale de Supuestos, Operación actual, Azure y AWS.</t>
        </is>
      </c>
    </row>
  </sheetData>
  <mergeCells count="1">
    <mergeCell ref="A2:E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0" customWidth="1" min="3" max="3"/>
    <col width="22" customWidth="1" min="4" max="4"/>
    <col width="22" customWidth="1" min="5" max="5"/>
    <col width="20" customWidth="1" min="6" max="6"/>
    <col width="20" customWidth="1" min="7" max="7"/>
  </cols>
  <sheetData>
    <row r="1">
      <c r="A1" s="1" t="inlineStr">
        <is>
          <t>Sensibilidad</t>
        </is>
      </c>
      <c r="B1" s="2" t="n"/>
      <c r="C1" s="2" t="n"/>
      <c r="D1" s="2" t="n"/>
      <c r="E1" s="2" t="n"/>
      <c r="F1" s="2" t="n"/>
      <c r="G1" s="2" t="n"/>
    </row>
    <row r="2" ht="45" customHeight="1">
      <c r="A2" s="3" t="inlineStr">
        <is>
          <t>Celdas azules de la primera columna son editables. Todo lo demás se recalcula desde Supuestos y las hojas de nube (Azure como referencia salvo que se indique).</t>
        </is>
      </c>
    </row>
    <row r="4">
      <c r="A4" s="23" t="inlineStr">
        <is>
          <t>1) % automatizado (con las estaciones de Supuestos) — Azure</t>
        </is>
      </c>
    </row>
    <row r="5">
      <c r="A5" s="4" t="inlineStr">
        <is>
          <t>% automatizado</t>
        </is>
      </c>
      <c r="B5" s="4" t="inlineStr">
        <is>
          <t>Residual cola CO (USD/mes)</t>
        </is>
      </c>
      <c r="C5" s="4" t="inlineStr">
        <is>
          <t>Ahorro CO (USD/mes)</t>
        </is>
      </c>
      <c r="D5" s="4" t="inlineStr">
        <is>
          <t>Payback CO (meses)</t>
        </is>
      </c>
      <c r="E5" s="4" t="inlineStr">
        <is>
          <t>Residual cola ES (USD/mes)</t>
        </is>
      </c>
      <c r="F5" s="4" t="inlineStr">
        <is>
          <t>Ahorro ES (USD/mes)</t>
        </is>
      </c>
      <c r="G5" s="4" t="inlineStr">
        <is>
          <t>Payback ES (meses)</t>
        </is>
      </c>
    </row>
    <row r="6">
      <c r="A6" s="31" t="n">
        <v>0.8</v>
      </c>
      <c r="B6" s="32">
        <f>estaciones*plantas*throughput_obj_h*horas_mes*(1-$A6)*min_caso_revision/60*costo_hora_co</f>
        <v/>
      </c>
      <c r="C6" s="32">
        <f>actual_mes_co-((azure_fijo_mes+azure_estacion_total_mes+azure_llm_mes)*plantas+estaciones*plantas*(capex_pc+capex_camara)*pct_mant_hw/12+B6+estaciones*plantas*fte_residual*horas_mes*factor_cobertura*costo_hora_co)</f>
        <v/>
      </c>
      <c r="D6" s="33">
        <f>IF(C6&gt;0,(estaciones*plantas*(capex_pc+capex_camara+capex_integracion)+capex_planta*plantas)/C6,"No recupera")</f>
        <v/>
      </c>
      <c r="E6" s="32">
        <f>estaciones*plantas*throughput_obj_h*horas_mes*(1-$A6)*min_caso_revision/60*costo_hora_es</f>
        <v/>
      </c>
      <c r="F6" s="32">
        <f>actual_mes_es-((azure_fijo_mes+azure_estacion_total_mes+azure_llm_mes)*plantas+estaciones*plantas*(capex_pc+capex_camara)*pct_mant_hw/12+E6+estaciones*plantas*fte_residual*horas_mes*factor_cobertura*costo_hora_es)</f>
        <v/>
      </c>
      <c r="G6" s="33">
        <f>IF(F6&gt;0,(estaciones*plantas*(capex_pc+capex_camara+capex_integracion)+capex_planta*plantas)/F6,"No recupera")</f>
        <v/>
      </c>
    </row>
    <row r="7">
      <c r="A7" s="31" t="n">
        <v>0.9</v>
      </c>
      <c r="B7" s="32">
        <f>estaciones*plantas*throughput_obj_h*horas_mes*(1-$A7)*min_caso_revision/60*costo_hora_co</f>
        <v/>
      </c>
      <c r="C7" s="32">
        <f>actual_mes_co-((azure_fijo_mes+azure_estacion_total_mes+azure_llm_mes)*plantas+estaciones*plantas*(capex_pc+capex_camara)*pct_mant_hw/12+B7+estaciones*plantas*fte_residual*horas_mes*factor_cobertura*costo_hora_co)</f>
        <v/>
      </c>
      <c r="D7" s="33">
        <f>IF(C7&gt;0,(estaciones*plantas*(capex_pc+capex_camara+capex_integracion)+capex_planta*plantas)/C7,"No recupera")</f>
        <v/>
      </c>
      <c r="E7" s="32">
        <f>estaciones*plantas*throughput_obj_h*horas_mes*(1-$A7)*min_caso_revision/60*costo_hora_es</f>
        <v/>
      </c>
      <c r="F7" s="32">
        <f>actual_mes_es-((azure_fijo_mes+azure_estacion_total_mes+azure_llm_mes)*plantas+estaciones*plantas*(capex_pc+capex_camara)*pct_mant_hw/12+E7+estaciones*plantas*fte_residual*horas_mes*factor_cobertura*costo_hora_es)</f>
        <v/>
      </c>
      <c r="G7" s="33">
        <f>IF(F7&gt;0,(estaciones*plantas*(capex_pc+capex_camara+capex_integracion)+capex_planta*plantas)/F7,"No recupera")</f>
        <v/>
      </c>
    </row>
    <row r="8">
      <c r="A8" s="31" t="n">
        <v>0.95</v>
      </c>
      <c r="B8" s="32">
        <f>estaciones*plantas*throughput_obj_h*horas_mes*(1-$A8)*min_caso_revision/60*costo_hora_co</f>
        <v/>
      </c>
      <c r="C8" s="32">
        <f>actual_mes_co-((azure_fijo_mes+azure_estacion_total_mes+azure_llm_mes)*plantas+estaciones*plantas*(capex_pc+capex_camara)*pct_mant_hw/12+B8+estaciones*plantas*fte_residual*horas_mes*factor_cobertura*costo_hora_co)</f>
        <v/>
      </c>
      <c r="D8" s="33">
        <f>IF(C8&gt;0,(estaciones*plantas*(capex_pc+capex_camara+capex_integracion)+capex_planta*plantas)/C8,"No recupera")</f>
        <v/>
      </c>
      <c r="E8" s="32">
        <f>estaciones*plantas*throughput_obj_h*horas_mes*(1-$A8)*min_caso_revision/60*costo_hora_es</f>
        <v/>
      </c>
      <c r="F8" s="32">
        <f>actual_mes_es-((azure_fijo_mes+azure_estacion_total_mes+azure_llm_mes)*plantas+estaciones*plantas*(capex_pc+capex_camara)*pct_mant_hw/12+E8+estaciones*plantas*fte_residual*horas_mes*factor_cobertura*costo_hora_es)</f>
        <v/>
      </c>
      <c r="G8" s="33">
        <f>IF(F8&gt;0,(estaciones*plantas*(capex_pc+capex_camara+capex_integracion)+capex_planta*plantas)/F8,"No recupera")</f>
        <v/>
      </c>
    </row>
    <row r="9">
      <c r="A9" s="31" t="n">
        <v>0.99</v>
      </c>
      <c r="B9" s="32">
        <f>estaciones*plantas*throughput_obj_h*horas_mes*(1-$A9)*min_caso_revision/60*costo_hora_co</f>
        <v/>
      </c>
      <c r="C9" s="32">
        <f>actual_mes_co-((azure_fijo_mes+azure_estacion_total_mes+azure_llm_mes)*plantas+estaciones*plantas*(capex_pc+capex_camara)*pct_mant_hw/12+B9+estaciones*plantas*fte_residual*horas_mes*factor_cobertura*costo_hora_co)</f>
        <v/>
      </c>
      <c r="D9" s="33">
        <f>IF(C9&gt;0,(estaciones*plantas*(capex_pc+capex_camara+capex_integracion)+capex_planta*plantas)/C9,"No recupera")</f>
        <v/>
      </c>
      <c r="E9" s="32">
        <f>estaciones*plantas*throughput_obj_h*horas_mes*(1-$A9)*min_caso_revision/60*costo_hora_es</f>
        <v/>
      </c>
      <c r="F9" s="32">
        <f>actual_mes_es-((azure_fijo_mes+azure_estacion_total_mes+azure_llm_mes)*plantas+estaciones*plantas*(capex_pc+capex_camara)*pct_mant_hw/12+E9+estaciones*plantas*fte_residual*horas_mes*factor_cobertura*costo_hora_es)</f>
        <v/>
      </c>
      <c r="G9" s="33">
        <f>IF(F9&gt;0,(estaciones*plantas*(capex_pc+capex_camara+capex_integracion)+capex_planta*plantas)/F9,"No recupera")</f>
        <v/>
      </c>
    </row>
    <row r="12">
      <c r="A12" s="23" t="inlineStr">
        <is>
          <t>2) Número de estaciones por planta (con % automatizado de Supuestos) — Azure</t>
        </is>
      </c>
    </row>
    <row r="13">
      <c r="A13" s="4" t="inlineStr">
        <is>
          <t>Estaciones</t>
        </is>
      </c>
      <c r="B13" s="4" t="inlineStr">
        <is>
          <t>Costo actual CO</t>
        </is>
      </c>
      <c r="C13" s="4" t="inlineStr">
        <is>
          <t>Costo nuevo CO</t>
        </is>
      </c>
      <c r="D13" s="4" t="inlineStr">
        <is>
          <t>Payback CO (meses)</t>
        </is>
      </c>
      <c r="E13" s="4" t="inlineStr">
        <is>
          <t>Costo actual ES</t>
        </is>
      </c>
      <c r="F13" s="4" t="inlineStr">
        <is>
          <t>Costo nuevo ES</t>
        </is>
      </c>
      <c r="G13" s="4" t="inlineStr">
        <is>
          <t>Payback ES (meses)</t>
        </is>
      </c>
    </row>
    <row r="14">
      <c r="A14" s="34" t="n">
        <v>1</v>
      </c>
      <c r="B14" s="32">
        <f>actual_estacion_co*$A14*plantas</f>
        <v/>
      </c>
      <c r="C14" s="32">
        <f>(azure_fijo_mes+azure_por_estacion_mes*$A14+azure_llm_por_conv*(conv_dia_base+conv_dia_estacion*$A14)*dias_mes)*plantas+$A14*plantas*(throughput_obj_h*horas_mes*(1-pct_automatizado)*min_caso_revision/60*costo_hora_co+fte_residual*horas_mes*factor_cobertura*costo_hora_co+(capex_pc+capex_camara)*pct_mant_hw/12)</f>
        <v/>
      </c>
      <c r="D14" s="33">
        <f>IF(B14&gt;C14,($A14*(capex_pc+capex_camara+capex_integracion)+capex_planta)*plantas/(B14-C14),"No recupera")</f>
        <v/>
      </c>
      <c r="E14" s="32">
        <f>actual_estacion_es*$A14*plantas</f>
        <v/>
      </c>
      <c r="F14" s="32">
        <f>(azure_fijo_mes+azure_por_estacion_mes*$A14+azure_llm_por_conv*(conv_dia_base+conv_dia_estacion*$A14)*dias_mes)*plantas+$A14*plantas*(throughput_obj_h*horas_mes*(1-pct_automatizado)*min_caso_revision/60*costo_hora_es+fte_residual*horas_mes*factor_cobertura*costo_hora_es+(capex_pc+capex_camara)*pct_mant_hw/12)</f>
        <v/>
      </c>
      <c r="G14" s="33">
        <f>IF(E14&gt;F14,($A14*(capex_pc+capex_camara+capex_integracion)+capex_planta)*plantas/(E14-F14),"No recupera")</f>
        <v/>
      </c>
    </row>
    <row r="15">
      <c r="A15" s="34" t="n">
        <v>5</v>
      </c>
      <c r="B15" s="32">
        <f>actual_estacion_co*$A15*plantas</f>
        <v/>
      </c>
      <c r="C15" s="32">
        <f>(azure_fijo_mes+azure_por_estacion_mes*$A15+azure_llm_por_conv*(conv_dia_base+conv_dia_estacion*$A15)*dias_mes)*plantas+$A15*plantas*(throughput_obj_h*horas_mes*(1-pct_automatizado)*min_caso_revision/60*costo_hora_co+fte_residual*horas_mes*factor_cobertura*costo_hora_co+(capex_pc+capex_camara)*pct_mant_hw/12)</f>
        <v/>
      </c>
      <c r="D15" s="33">
        <f>IF(B15&gt;C15,($A15*(capex_pc+capex_camara+capex_integracion)+capex_planta)*plantas/(B15-C15),"No recupera")</f>
        <v/>
      </c>
      <c r="E15" s="32">
        <f>actual_estacion_es*$A15*plantas</f>
        <v/>
      </c>
      <c r="F15" s="32">
        <f>(azure_fijo_mes+azure_por_estacion_mes*$A15+azure_llm_por_conv*(conv_dia_base+conv_dia_estacion*$A15)*dias_mes)*plantas+$A15*plantas*(throughput_obj_h*horas_mes*(1-pct_automatizado)*min_caso_revision/60*costo_hora_es+fte_residual*horas_mes*factor_cobertura*costo_hora_es+(capex_pc+capex_camara)*pct_mant_hw/12)</f>
        <v/>
      </c>
      <c r="G15" s="33">
        <f>IF(E15&gt;F15,($A15*(capex_pc+capex_camara+capex_integracion)+capex_planta)*plantas/(E15-F15),"No recupera")</f>
        <v/>
      </c>
    </row>
    <row r="16">
      <c r="A16" s="34" t="n">
        <v>20</v>
      </c>
      <c r="B16" s="32">
        <f>actual_estacion_co*$A16*plantas</f>
        <v/>
      </c>
      <c r="C16" s="32">
        <f>(azure_fijo_mes+azure_por_estacion_mes*$A16+azure_llm_por_conv*(conv_dia_base+conv_dia_estacion*$A16)*dias_mes)*plantas+$A16*plantas*(throughput_obj_h*horas_mes*(1-pct_automatizado)*min_caso_revision/60*costo_hora_co+fte_residual*horas_mes*factor_cobertura*costo_hora_co+(capex_pc+capex_camara)*pct_mant_hw/12)</f>
        <v/>
      </c>
      <c r="D16" s="33">
        <f>IF(B16&gt;C16,($A16*(capex_pc+capex_camara+capex_integracion)+capex_planta)*plantas/(B16-C16),"No recupera")</f>
        <v/>
      </c>
      <c r="E16" s="32">
        <f>actual_estacion_es*$A16*plantas</f>
        <v/>
      </c>
      <c r="F16" s="32">
        <f>(azure_fijo_mes+azure_por_estacion_mes*$A16+azure_llm_por_conv*(conv_dia_base+conv_dia_estacion*$A16)*dias_mes)*plantas+$A16*plantas*(throughput_obj_h*horas_mes*(1-pct_automatizado)*min_caso_revision/60*costo_hora_es+fte_residual*horas_mes*factor_cobertura*costo_hora_es+(capex_pc+capex_camara)*pct_mant_hw/12)</f>
        <v/>
      </c>
      <c r="G16" s="33">
        <f>IF(E16&gt;F16,($A16*(capex_pc+capex_camara+capex_integracion)+capex_planta)*plantas/(E16-F16),"No recupera")</f>
        <v/>
      </c>
    </row>
    <row r="19">
      <c r="A19" s="23" t="inlineStr">
        <is>
          <t>3) Volumen del asistente: costo LLM mensual por planta</t>
        </is>
      </c>
    </row>
    <row r="20">
      <c r="A20" s="4" t="inlineStr">
        <is>
          <t>Conversaciones/día</t>
        </is>
      </c>
      <c r="B20" s="4" t="inlineStr">
        <is>
          <t>Azure LLM (USD/mes)</t>
        </is>
      </c>
      <c r="C20" s="4" t="inlineStr">
        <is>
          <t>AWS LLM (USD/mes)</t>
        </is>
      </c>
      <c r="D20" s="4" t="inlineStr">
        <is>
          <t>Azure LLM si todo va al modelo grande</t>
        </is>
      </c>
      <c r="E20" s="4" t="inlineStr">
        <is>
          <t>Peso LLM Azure en nube total</t>
        </is>
      </c>
      <c r="F20" s="4" t="inlineStr"/>
      <c r="G20" s="4" t="inlineStr"/>
    </row>
    <row r="21">
      <c r="A21" s="34" t="n">
        <v>20</v>
      </c>
      <c r="B21" s="32">
        <f>azure_llm_por_conv*$A21*dias_mes</f>
        <v/>
      </c>
      <c r="C21" s="32">
        <f>aws_llm_por_conv*$A21*dias_mes</f>
        <v/>
      </c>
      <c r="D21" s="32">
        <f>(tok_in_conv*((1-pct_cache)*0.0022+pct_cache*0.00055)+tok_out_conv*0.0088)/1000*$A21*dias_mes</f>
        <v/>
      </c>
      <c r="E21" s="35">
        <f>B21/(azure_fijo_mes+azure_estacion_total_mes+B21)</f>
        <v/>
      </c>
    </row>
    <row r="22">
      <c r="A22" s="34" t="n">
        <v>60</v>
      </c>
      <c r="B22" s="32">
        <f>azure_llm_por_conv*$A22*dias_mes</f>
        <v/>
      </c>
      <c r="C22" s="32">
        <f>aws_llm_por_conv*$A22*dias_mes</f>
        <v/>
      </c>
      <c r="D22" s="32">
        <f>(tok_in_conv*((1-pct_cache)*0.0022+pct_cache*0.00055)+tok_out_conv*0.0088)/1000*$A22*dias_mes</f>
        <v/>
      </c>
      <c r="E22" s="35">
        <f>B22/(azure_fijo_mes+azure_estacion_total_mes+B22)</f>
        <v/>
      </c>
    </row>
    <row r="23">
      <c r="A23" s="34" t="n">
        <v>200</v>
      </c>
      <c r="B23" s="32">
        <f>azure_llm_por_conv*$A23*dias_mes</f>
        <v/>
      </c>
      <c r="C23" s="32">
        <f>aws_llm_por_conv*$A23*dias_mes</f>
        <v/>
      </c>
      <c r="D23" s="32">
        <f>(tok_in_conv*((1-pct_cache)*0.0022+pct_cache*0.00055)+tok_out_conv*0.0088)/1000*$A23*dias_mes</f>
        <v/>
      </c>
      <c r="E23" s="35">
        <f>B23/(azure_fijo_mes+azure_estacion_total_mes+B23)</f>
        <v/>
      </c>
    </row>
    <row r="24">
      <c r="A24" s="34" t="n">
        <v>1000</v>
      </c>
      <c r="B24" s="32">
        <f>azure_llm_por_conv*$A24*dias_mes</f>
        <v/>
      </c>
      <c r="C24" s="32">
        <f>aws_llm_por_conv*$A24*dias_mes</f>
        <v/>
      </c>
      <c r="D24" s="32">
        <f>(tok_in_conv*((1-pct_cache)*0.0022+pct_cache*0.00055)+tok_out_conv*0.0088)/1000*$A24*dias_mes</f>
        <v/>
      </c>
      <c r="E24" s="35">
        <f>B24/(azure_fijo_mes+azure_estacion_total_mes+B24)</f>
        <v/>
      </c>
    </row>
    <row r="26">
      <c r="A26" t="inlineStr">
        <is>
          <t>Nota tabla 3: la columna 'todo al modelo grande' usa los precios gpt-4.1 Data Zone de la hoja Azure (estimados) y muestra el valor del enrutamiento a modelo pequeño.</t>
        </is>
      </c>
    </row>
  </sheetData>
  <mergeCells count="1">
    <mergeCell ref="A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Fuentes y método</t>
        </is>
      </c>
      <c r="B1" s="2" t="n"/>
    </row>
    <row r="2" ht="45" customHeight="1">
      <c r="A2" s="3" t="inlineStr"/>
    </row>
    <row r="4">
      <c r="A4" s="23" t="inlineStr">
        <is>
          <t>API de precios minoristas de Azure</t>
        </is>
      </c>
      <c r="B4" s="7" t="inlineStr">
        <is>
          <t>https://prices.azure.com/api/retail/prices — consultada 2026-10-24 con filtros por serviceName/meterName, región eastus2, priceType=Consumption</t>
        </is>
      </c>
    </row>
    <row r="5">
      <c r="A5" s="23" t="inlineStr">
        <is>
          <t>Calculadora Azure</t>
        </is>
      </c>
      <c r="B5" s="7" t="inlineStr">
        <is>
          <t>https://azure.microsoft.com/pricing/calculator/</t>
        </is>
      </c>
    </row>
    <row r="6">
      <c r="A6" s="23" t="inlineStr">
        <is>
          <t>Precios Azure OpenAI</t>
        </is>
      </c>
      <c r="B6" s="7" t="inlineStr">
        <is>
          <t>https://azure.microsoft.com/pricing/details/cognitive-services/openai-service/</t>
        </is>
      </c>
    </row>
    <row r="7">
      <c r="A7" s="23" t="inlineStr">
        <is>
          <t>Calculadora AWS</t>
        </is>
      </c>
      <c r="B7" s="7" t="inlineStr">
        <is>
          <t>https://calculator.aws/</t>
        </is>
      </c>
    </row>
    <row r="8">
      <c r="A8" s="23" t="inlineStr">
        <is>
          <t>Precios Bedrock</t>
        </is>
      </c>
      <c r="B8" s="7" t="inlineStr">
        <is>
          <t>https://aws.amazon.com/bedrock/pricing/</t>
        </is>
      </c>
    </row>
    <row r="9">
      <c r="A9" s="23" t="inlineStr">
        <is>
          <t>Precios Fargate</t>
        </is>
      </c>
      <c r="B9" s="7" t="inlineStr">
        <is>
          <t>https://aws.amazon.com/fargate/pricing/</t>
        </is>
      </c>
    </row>
    <row r="10">
      <c r="A10" s="23" t="inlineStr">
        <is>
          <t>Precios S3</t>
        </is>
      </c>
      <c r="B10" s="7" t="inlineStr">
        <is>
          <t>https://aws.amazon.com/s3/pricing/</t>
        </is>
      </c>
    </row>
    <row r="11">
      <c r="A11" s="23" t="inlineStr">
        <is>
          <t>SMMLV Colombia 2025</t>
        </is>
      </c>
      <c r="B11" s="7" t="inlineStr">
        <is>
          <t>Decreto 1572 de 2024 (1.423.500 COP)</t>
        </is>
      </c>
    </row>
    <row r="12">
      <c r="A12" s="23" t="inlineStr">
        <is>
          <t>Recargo nocturno Colombia</t>
        </is>
      </c>
      <c r="B12" s="7" t="inlineStr">
        <is>
          <t>Código Sustantivo del Trabajo, art. 168</t>
        </is>
      </c>
    </row>
    <row r="13">
      <c r="A13" s="23" t="inlineStr">
        <is>
          <t>Método</t>
        </is>
      </c>
      <c r="B13" s="7" t="inlineStr">
        <is>
          <t>Precio unitario × cantidad mensual × incluir. Cantidades derivadas de Supuestos. Precios de lista sin descuentos EA/MACC/EDP, sin reservas ni impuestos.</t>
        </is>
      </c>
    </row>
    <row r="14">
      <c r="A14" s="23" t="inlineStr">
        <is>
          <t>Limitaciones</t>
        </is>
      </c>
      <c r="B14" s="7" t="inlineStr">
        <is>
          <t>Precios AWS y algunos de Azure son estimados (columna 'Estado'). No incluye egress de red, soporte (Developer/Business) ni licencias corporativas existentes.</t>
        </is>
      </c>
    </row>
  </sheetData>
  <mergeCells count="1">
    <mergeCell ref="A2:B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2026-10-24T16:43:43Z</dcterms:created>
  <dcterms:modified xsi:type="dcterms:W3CDTF">2026-10-24T16:43:43Z</dcterms:modified>
</cp:coreProperties>
</file>